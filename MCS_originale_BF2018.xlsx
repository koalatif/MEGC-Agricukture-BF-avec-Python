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ez-moi" sheetId="1" state="visible" r:id="rId3"/>
    <sheet name="MCS" sheetId="2" state="visible" r:id="rId4"/>
    <sheet name="Macro" sheetId="3" state="visible" r:id="rId5"/>
    <sheet name="Nomenclatur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<sst xmlns="http://schemas.openxmlformats.org/spreadsheetml/2006/main" count="1356" uniqueCount="835">
  <si>
    <t xml:space="preserve">MCS D'ORIGINE (NON RÉCONCILIÉE) — Burkina Faso 2018 (334 comptes)</t>
  </si>
  <si>
    <t xml:space="preserve">Matrice désagrégée telle qu'utilisée avant la réconciliation avec la macro-MCS.</t>
  </si>
  <si>
    <t xml:space="preserve">Le compte « Unité fictive » de la macro-MCS y est DISSOUS dans les autres comptes,</t>
  </si>
  <si>
    <t xml:space="preserve">ce qui crée les anomalies suivantes (voir l'audit et CHANGELOG_REPARATION.md) :</t>
  </si>
  <si>
    <t xml:space="preserve">  - importations : 265 630 seulement (2,3 % de l'absorption — non plausible) ;</t>
  </si>
  <si>
    <t xml:space="preserve">  - épargne du RdM (solde courant) : −4 201 449 ;</t>
  </si>
  <si>
    <t xml:space="preserve">  - revenu du capital versé au RdM : −1 984 929 (cellule négative) ;</t>
  </si>
  <si>
    <t xml:space="preserve">  - variation de stocks : −4 413 980 (cellules négatives massives par produit).</t>
  </si>
  <si>
    <t xml:space="preserve">Usage recommandé : chocs fiscaux/productivité de grande ampleur (CGE(dataset='original') ;</t>
  </si>
  <si>
    <t xml:space="preserve">numériquement exacts). Ne PAS utiliser pour la politique commerciale ou les prix mondiaux.</t>
  </si>
  <si>
    <t xml:space="preserve">Équilibrée à 8,6e-08 près (millions FCFA). Unité : millions de FCFA.</t>
  </si>
  <si>
    <t xml:space="preserve">Feuilles : MCS complète 334×334 (totaux par formules) ; Macro (blocs de la macro-MCS) ;</t>
  </si>
  <si>
    <t xml:space="preserve">Nomenclature (identique au classeur réconcilié, sans la branche A_UF).</t>
  </si>
  <si>
    <t xml:space="preserve">ligne \ colonne</t>
  </si>
  <si>
    <t xml:space="preserve">L.lsal</t>
  </si>
  <si>
    <t xml:space="preserve">L.lfam</t>
  </si>
  <si>
    <t xml:space="preserve">K.kagr</t>
  </si>
  <si>
    <t xml:space="preserve">K.knag</t>
  </si>
  <si>
    <t xml:space="preserve">AG.hrp</t>
  </si>
  <si>
    <t xml:space="preserve">AG.hup</t>
  </si>
  <si>
    <t xml:space="preserve">AG.hrr</t>
  </si>
  <si>
    <t xml:space="preserve">AG.hur</t>
  </si>
  <si>
    <t xml:space="preserve">AG.firm_nf</t>
  </si>
  <si>
    <t xml:space="preserve">AG.firm_f</t>
  </si>
  <si>
    <t xml:space="preserve">AG.gvt</t>
  </si>
  <si>
    <t xml:space="preserve">AG.TD</t>
  </si>
  <si>
    <t xml:space="preserve">AG.TM</t>
  </si>
  <si>
    <t xml:space="preserve">AG.TI</t>
  </si>
  <si>
    <t xml:space="preserve">AG.row</t>
  </si>
  <si>
    <t xml:space="preserve">J.A1</t>
  </si>
  <si>
    <t xml:space="preserve">J.A2</t>
  </si>
  <si>
    <t xml:space="preserve">J.A3</t>
  </si>
  <si>
    <t xml:space="preserve">J.A4</t>
  </si>
  <si>
    <t xml:space="preserve">J.A5</t>
  </si>
  <si>
    <t xml:space="preserve">J.A6</t>
  </si>
  <si>
    <t xml:space="preserve">J.A7</t>
  </si>
  <si>
    <t xml:space="preserve">J.A8</t>
  </si>
  <si>
    <t xml:space="preserve">J.A9</t>
  </si>
  <si>
    <t xml:space="preserve">J.A10</t>
  </si>
  <si>
    <t xml:space="preserve">J.A11</t>
  </si>
  <si>
    <t xml:space="preserve">J.A12</t>
  </si>
  <si>
    <t xml:space="preserve">J.A14</t>
  </si>
  <si>
    <t xml:space="preserve">J.A15</t>
  </si>
  <si>
    <t xml:space="preserve">J.A16</t>
  </si>
  <si>
    <t xml:space="preserve">J.A17</t>
  </si>
  <si>
    <t xml:space="preserve">J.A18</t>
  </si>
  <si>
    <t xml:space="preserve">J.A19</t>
  </si>
  <si>
    <t xml:space="preserve">J.A20</t>
  </si>
  <si>
    <t xml:space="preserve">J.A21</t>
  </si>
  <si>
    <t xml:space="preserve">J.A22</t>
  </si>
  <si>
    <t xml:space="preserve">J.A24</t>
  </si>
  <si>
    <t xml:space="preserve">J.A25</t>
  </si>
  <si>
    <t xml:space="preserve">J.A26</t>
  </si>
  <si>
    <t xml:space="preserve">J.A27</t>
  </si>
  <si>
    <t xml:space="preserve">J.A28</t>
  </si>
  <si>
    <t xml:space="preserve">J.A29</t>
  </si>
  <si>
    <t xml:space="preserve">J.A30</t>
  </si>
  <si>
    <t xml:space="preserve">J.A31</t>
  </si>
  <si>
    <t xml:space="preserve">J.A32</t>
  </si>
  <si>
    <t xml:space="preserve">J.A33</t>
  </si>
  <si>
    <t xml:space="preserve">J.A34</t>
  </si>
  <si>
    <t xml:space="preserve">J.A35</t>
  </si>
  <si>
    <t xml:space="preserve">J.A36</t>
  </si>
  <si>
    <t xml:space="preserve">J.A37</t>
  </si>
  <si>
    <t xml:space="preserve">J.A38</t>
  </si>
  <si>
    <t xml:space="preserve">J.A39</t>
  </si>
  <si>
    <t xml:space="preserve">J.A40</t>
  </si>
  <si>
    <t xml:space="preserve">J.A41</t>
  </si>
  <si>
    <t xml:space="preserve">J.A42</t>
  </si>
  <si>
    <t xml:space="preserve">J.A43</t>
  </si>
  <si>
    <t xml:space="preserve">J.A44</t>
  </si>
  <si>
    <t xml:space="preserve">J.A45</t>
  </si>
  <si>
    <t xml:space="preserve">J.A46</t>
  </si>
  <si>
    <t xml:space="preserve">J.A48</t>
  </si>
  <si>
    <t xml:space="preserve">J.A49</t>
  </si>
  <si>
    <t xml:space="preserve">J.A50</t>
  </si>
  <si>
    <t xml:space="preserve">J.A51</t>
  </si>
  <si>
    <t xml:space="preserve">J.A52</t>
  </si>
  <si>
    <t xml:space="preserve">J.A53</t>
  </si>
  <si>
    <t xml:space="preserve">J.A54</t>
  </si>
  <si>
    <t xml:space="preserve">J.A55</t>
  </si>
  <si>
    <t xml:space="preserve">J.A56</t>
  </si>
  <si>
    <t xml:space="preserve">J.A57</t>
  </si>
  <si>
    <t xml:space="preserve">J.A58</t>
  </si>
  <si>
    <t xml:space="preserve">J.A59</t>
  </si>
  <si>
    <t xml:space="preserve">J.A60</t>
  </si>
  <si>
    <t xml:space="preserve">J.A61</t>
  </si>
  <si>
    <t xml:space="preserve">J.A62</t>
  </si>
  <si>
    <t xml:space="preserve">J.A63</t>
  </si>
  <si>
    <t xml:space="preserve">J.A65</t>
  </si>
  <si>
    <t xml:space="preserve">J.A66</t>
  </si>
  <si>
    <t xml:space="preserve">J.A67</t>
  </si>
  <si>
    <t xml:space="preserve">J.A68</t>
  </si>
  <si>
    <t xml:space="preserve">J.A69</t>
  </si>
  <si>
    <t xml:space="preserve">J.A70</t>
  </si>
  <si>
    <t xml:space="preserve">J.A71</t>
  </si>
  <si>
    <t xml:space="preserve">J.A72</t>
  </si>
  <si>
    <t xml:space="preserve">J.A73</t>
  </si>
  <si>
    <t xml:space="preserve">J.A74</t>
  </si>
  <si>
    <t xml:space="preserve">J.A75</t>
  </si>
  <si>
    <t xml:space="preserve">J.A76</t>
  </si>
  <si>
    <t xml:space="preserve">J.A77</t>
  </si>
  <si>
    <t xml:space="preserve">J.A79</t>
  </si>
  <si>
    <t xml:space="preserve">J.A80</t>
  </si>
  <si>
    <t xml:space="preserve">J.A81</t>
  </si>
  <si>
    <t xml:space="preserve">J.A82</t>
  </si>
  <si>
    <t xml:space="preserve">J.A83</t>
  </si>
  <si>
    <t xml:space="preserve">J.A84</t>
  </si>
  <si>
    <t xml:space="preserve">J.A85</t>
  </si>
  <si>
    <t xml:space="preserve">J.A86</t>
  </si>
  <si>
    <t xml:space="preserve">J.A87</t>
  </si>
  <si>
    <t xml:space="preserve">J.A88</t>
  </si>
  <si>
    <t xml:space="preserve">J.A89</t>
  </si>
  <si>
    <t xml:space="preserve">J.A90</t>
  </si>
  <si>
    <t xml:space="preserve">J.A91</t>
  </si>
  <si>
    <t xml:space="preserve">J.A92</t>
  </si>
  <si>
    <t xml:space="preserve">J.A93</t>
  </si>
  <si>
    <t xml:space="preserve">I.P1</t>
  </si>
  <si>
    <t xml:space="preserve">I.P2</t>
  </si>
  <si>
    <t xml:space="preserve">I.P3</t>
  </si>
  <si>
    <t xml:space="preserve">I.P4</t>
  </si>
  <si>
    <t xml:space="preserve">I.P5</t>
  </si>
  <si>
    <t xml:space="preserve">I.P6</t>
  </si>
  <si>
    <t xml:space="preserve">I.P7</t>
  </si>
  <si>
    <t xml:space="preserve">I.P8</t>
  </si>
  <si>
    <t xml:space="preserve">I.P9</t>
  </si>
  <si>
    <t xml:space="preserve">I.P10</t>
  </si>
  <si>
    <t xml:space="preserve">I.P11</t>
  </si>
  <si>
    <t xml:space="preserve">I.P13</t>
  </si>
  <si>
    <t xml:space="preserve">I.P14</t>
  </si>
  <si>
    <t xml:space="preserve">I.P15</t>
  </si>
  <si>
    <t xml:space="preserve">I.P16</t>
  </si>
  <si>
    <t xml:space="preserve">I.P17</t>
  </si>
  <si>
    <t xml:space="preserve">I.P18</t>
  </si>
  <si>
    <t xml:space="preserve">I.P19</t>
  </si>
  <si>
    <t xml:space="preserve">I.P20</t>
  </si>
  <si>
    <t xml:space="preserve">I.P21</t>
  </si>
  <si>
    <t xml:space="preserve">I.P22</t>
  </si>
  <si>
    <t xml:space="preserve">I.P23</t>
  </si>
  <si>
    <t xml:space="preserve">I.P24</t>
  </si>
  <si>
    <t xml:space="preserve">I.P25</t>
  </si>
  <si>
    <t xml:space="preserve">I.P26</t>
  </si>
  <si>
    <t xml:space="preserve">I.P27</t>
  </si>
  <si>
    <t xml:space="preserve">I.P28</t>
  </si>
  <si>
    <t xml:space="preserve">I.P29</t>
  </si>
  <si>
    <t xml:space="preserve">I.P31</t>
  </si>
  <si>
    <t xml:space="preserve">I.P32</t>
  </si>
  <si>
    <t xml:space="preserve">I.P33</t>
  </si>
  <si>
    <t xml:space="preserve">I.P34</t>
  </si>
  <si>
    <t xml:space="preserve">I.P35</t>
  </si>
  <si>
    <t xml:space="preserve">I.P36</t>
  </si>
  <si>
    <t xml:space="preserve">I.P37</t>
  </si>
  <si>
    <t xml:space="preserve">I.P38</t>
  </si>
  <si>
    <t xml:space="preserve">I.P39</t>
  </si>
  <si>
    <t xml:space="preserve">I.P40</t>
  </si>
  <si>
    <t xml:space="preserve">I.P41</t>
  </si>
  <si>
    <t xml:space="preserve">I.P42</t>
  </si>
  <si>
    <t xml:space="preserve">I.P43</t>
  </si>
  <si>
    <t xml:space="preserve">I.P44</t>
  </si>
  <si>
    <t xml:space="preserve">I.P45</t>
  </si>
  <si>
    <t xml:space="preserve">I.P46</t>
  </si>
  <si>
    <t xml:space="preserve">I.P47</t>
  </si>
  <si>
    <t xml:space="preserve">I.P48</t>
  </si>
  <si>
    <t xml:space="preserve">I.P49</t>
  </si>
  <si>
    <t xml:space="preserve">I.P50</t>
  </si>
  <si>
    <t xml:space="preserve">I.P51</t>
  </si>
  <si>
    <t xml:space="preserve">I.P52</t>
  </si>
  <si>
    <t xml:space="preserve">I.P53</t>
  </si>
  <si>
    <t xml:space="preserve">I.P54</t>
  </si>
  <si>
    <t xml:space="preserve">I.P55</t>
  </si>
  <si>
    <t xml:space="preserve">I.P56</t>
  </si>
  <si>
    <t xml:space="preserve">I.P57</t>
  </si>
  <si>
    <t xml:space="preserve">I.P58</t>
  </si>
  <si>
    <t xml:space="preserve">I.P59</t>
  </si>
  <si>
    <t xml:space="preserve">I.P60</t>
  </si>
  <si>
    <t xml:space="preserve">I.P61</t>
  </si>
  <si>
    <t xml:space="preserve">I.P62</t>
  </si>
  <si>
    <t xml:space="preserve">I.P63</t>
  </si>
  <si>
    <t xml:space="preserve">I.P64</t>
  </si>
  <si>
    <t xml:space="preserve">I.P65</t>
  </si>
  <si>
    <t xml:space="preserve">I.P66</t>
  </si>
  <si>
    <t xml:space="preserve">I.P67</t>
  </si>
  <si>
    <t xml:space="preserve">I.P68</t>
  </si>
  <si>
    <t xml:space="preserve">I.P69</t>
  </si>
  <si>
    <t xml:space="preserve">I.P70</t>
  </si>
  <si>
    <t xml:space="preserve">I.P71</t>
  </si>
  <si>
    <t xml:space="preserve">I.P72</t>
  </si>
  <si>
    <t xml:space="preserve">I.P73</t>
  </si>
  <si>
    <t xml:space="preserve">I.P74</t>
  </si>
  <si>
    <t xml:space="preserve">I.P75</t>
  </si>
  <si>
    <t xml:space="preserve">I.P76</t>
  </si>
  <si>
    <t xml:space="preserve">I.P77</t>
  </si>
  <si>
    <t xml:space="preserve">I.P78</t>
  </si>
  <si>
    <t xml:space="preserve">I.P79</t>
  </si>
  <si>
    <t xml:space="preserve">I.P80</t>
  </si>
  <si>
    <t xml:space="preserve">I.P81</t>
  </si>
  <si>
    <t xml:space="preserve">I.P82</t>
  </si>
  <si>
    <t xml:space="preserve">I.P83</t>
  </si>
  <si>
    <t xml:space="preserve">I.P84</t>
  </si>
  <si>
    <t xml:space="preserve">I.P85</t>
  </si>
  <si>
    <t xml:space="preserve">I.P86</t>
  </si>
  <si>
    <t xml:space="preserve">I.P87</t>
  </si>
  <si>
    <t xml:space="preserve">I.P88</t>
  </si>
  <si>
    <t xml:space="preserve">I.P89</t>
  </si>
  <si>
    <t xml:space="preserve">I.P90</t>
  </si>
  <si>
    <t xml:space="preserve">I.P91</t>
  </si>
  <si>
    <t xml:space="preserve">I.P92</t>
  </si>
  <si>
    <t xml:space="preserve">I.P93</t>
  </si>
  <si>
    <t xml:space="preserve">I.P94</t>
  </si>
  <si>
    <t xml:space="preserve">I.P95</t>
  </si>
  <si>
    <t xml:space="preserve">I.P96</t>
  </si>
  <si>
    <t xml:space="preserve">I.P97</t>
  </si>
  <si>
    <t xml:space="preserve">I.P98</t>
  </si>
  <si>
    <t xml:space="preserve">I.P99</t>
  </si>
  <si>
    <t xml:space="preserve">I.P100</t>
  </si>
  <si>
    <t xml:space="preserve">I.P101</t>
  </si>
  <si>
    <t xml:space="preserve">I.P102</t>
  </si>
  <si>
    <t xml:space="preserve">I.P103</t>
  </si>
  <si>
    <t xml:space="preserve">I.P104</t>
  </si>
  <si>
    <t xml:space="preserve">I.P105</t>
  </si>
  <si>
    <t xml:space="preserve">I.P106</t>
  </si>
  <si>
    <t xml:space="preserve">I.P107</t>
  </si>
  <si>
    <t xml:space="preserve">I.P108</t>
  </si>
  <si>
    <t xml:space="preserve">I.P109</t>
  </si>
  <si>
    <t xml:space="preserve">I.P110</t>
  </si>
  <si>
    <t xml:space="preserve">I.P111</t>
  </si>
  <si>
    <t xml:space="preserve">I.P112</t>
  </si>
  <si>
    <t xml:space="preserve">I.P113</t>
  </si>
  <si>
    <t xml:space="preserve">I.P114</t>
  </si>
  <si>
    <t xml:space="preserve">I.P115</t>
  </si>
  <si>
    <t xml:space="preserve">I.P116</t>
  </si>
  <si>
    <t xml:space="preserve">I.P117</t>
  </si>
  <si>
    <t xml:space="preserve">I.P118</t>
  </si>
  <si>
    <t xml:space="preserve">I.P119</t>
  </si>
  <si>
    <t xml:space="preserve">I.P120</t>
  </si>
  <si>
    <t xml:space="preserve">I.P121</t>
  </si>
  <si>
    <t xml:space="preserve">I.P122</t>
  </si>
  <si>
    <t xml:space="preserve">I.P123</t>
  </si>
  <si>
    <t xml:space="preserve">I.P124</t>
  </si>
  <si>
    <t xml:space="preserve">I.P125</t>
  </si>
  <si>
    <t xml:space="preserve">I.P126</t>
  </si>
  <si>
    <t xml:space="preserve">I.P127</t>
  </si>
  <si>
    <t xml:space="preserve">I.P128</t>
  </si>
  <si>
    <t xml:space="preserve">I.P129</t>
  </si>
  <si>
    <t xml:space="preserve">I.P130</t>
  </si>
  <si>
    <t xml:space="preserve">I.P131</t>
  </si>
  <si>
    <t xml:space="preserve">I.P132</t>
  </si>
  <si>
    <t xml:space="preserve">I.P133</t>
  </si>
  <si>
    <t xml:space="preserve">I.P134</t>
  </si>
  <si>
    <t xml:space="preserve">I.P135</t>
  </si>
  <si>
    <t xml:space="preserve">I.P136</t>
  </si>
  <si>
    <t xml:space="preserve">I.P137</t>
  </si>
  <si>
    <t xml:space="preserve">I.P138</t>
  </si>
  <si>
    <t xml:space="preserve">I.P139</t>
  </si>
  <si>
    <t xml:space="preserve">I.P140</t>
  </si>
  <si>
    <t xml:space="preserve">I.P141</t>
  </si>
  <si>
    <t xml:space="preserve">X.P1</t>
  </si>
  <si>
    <t xml:space="preserve">X.P2</t>
  </si>
  <si>
    <t xml:space="preserve">X.P3</t>
  </si>
  <si>
    <t xml:space="preserve">X.P4</t>
  </si>
  <si>
    <t xml:space="preserve">X.P5</t>
  </si>
  <si>
    <t xml:space="preserve">X.P6</t>
  </si>
  <si>
    <t xml:space="preserve">X.P7</t>
  </si>
  <si>
    <t xml:space="preserve">X.P8</t>
  </si>
  <si>
    <t xml:space="preserve">X.P9</t>
  </si>
  <si>
    <t xml:space="preserve">X.P10</t>
  </si>
  <si>
    <t xml:space="preserve">X.P11</t>
  </si>
  <si>
    <t xml:space="preserve">X.P13</t>
  </si>
  <si>
    <t xml:space="preserve">X.P14</t>
  </si>
  <si>
    <t xml:space="preserve">X.P16</t>
  </si>
  <si>
    <t xml:space="preserve">X.P17</t>
  </si>
  <si>
    <t xml:space="preserve">X.P18</t>
  </si>
  <si>
    <t xml:space="preserve">X.P19</t>
  </si>
  <si>
    <t xml:space="preserve">X.P20</t>
  </si>
  <si>
    <t xml:space="preserve">X.P21</t>
  </si>
  <si>
    <t xml:space="preserve">X.P22</t>
  </si>
  <si>
    <t xml:space="preserve">X.P23</t>
  </si>
  <si>
    <t xml:space="preserve">X.P24</t>
  </si>
  <si>
    <t xml:space="preserve">X.P25</t>
  </si>
  <si>
    <t xml:space="preserve">X.P26</t>
  </si>
  <si>
    <t xml:space="preserve">X.P27</t>
  </si>
  <si>
    <t xml:space="preserve">X.P28</t>
  </si>
  <si>
    <t xml:space="preserve">X.P29</t>
  </si>
  <si>
    <t xml:space="preserve">X.P32</t>
  </si>
  <si>
    <t xml:space="preserve">X.P33</t>
  </si>
  <si>
    <t xml:space="preserve">X.P34</t>
  </si>
  <si>
    <t xml:space="preserve">X.P36</t>
  </si>
  <si>
    <t xml:space="preserve">X.P37</t>
  </si>
  <si>
    <t xml:space="preserve">X.P38</t>
  </si>
  <si>
    <t xml:space="preserve">X.P39</t>
  </si>
  <si>
    <t xml:space="preserve">X.P40</t>
  </si>
  <si>
    <t xml:space="preserve">X.P41</t>
  </si>
  <si>
    <t xml:space="preserve">X.P42</t>
  </si>
  <si>
    <t xml:space="preserve">X.P54</t>
  </si>
  <si>
    <t xml:space="preserve">X.P55</t>
  </si>
  <si>
    <t xml:space="preserve">X.P57</t>
  </si>
  <si>
    <t xml:space="preserve">X.P58</t>
  </si>
  <si>
    <t xml:space="preserve">X.P59</t>
  </si>
  <si>
    <t xml:space="preserve">X.P60</t>
  </si>
  <si>
    <t xml:space="preserve">X.P61</t>
  </si>
  <si>
    <t xml:space="preserve">X.P62</t>
  </si>
  <si>
    <t xml:space="preserve">X.P63</t>
  </si>
  <si>
    <t xml:space="preserve">X.P65</t>
  </si>
  <si>
    <t xml:space="preserve">X.P67</t>
  </si>
  <si>
    <t xml:space="preserve">X.P68</t>
  </si>
  <si>
    <t xml:space="preserve">X.P70</t>
  </si>
  <si>
    <t xml:space="preserve">X.P71</t>
  </si>
  <si>
    <t xml:space="preserve">X.P72</t>
  </si>
  <si>
    <t xml:space="preserve">X.P73</t>
  </si>
  <si>
    <t xml:space="preserve">X.P75</t>
  </si>
  <si>
    <t xml:space="preserve">X.P77</t>
  </si>
  <si>
    <t xml:space="preserve">X.P79</t>
  </si>
  <si>
    <t xml:space="preserve">X.P84</t>
  </si>
  <si>
    <t xml:space="preserve">X.P85</t>
  </si>
  <si>
    <t xml:space="preserve">X.P87</t>
  </si>
  <si>
    <t xml:space="preserve">X.P88</t>
  </si>
  <si>
    <t xml:space="preserve">X.P89</t>
  </si>
  <si>
    <t xml:space="preserve">X.P92</t>
  </si>
  <si>
    <t xml:space="preserve">X.P95</t>
  </si>
  <si>
    <t xml:space="preserve">X.P96</t>
  </si>
  <si>
    <t xml:space="preserve">X.P98</t>
  </si>
  <si>
    <t xml:space="preserve">X.P100</t>
  </si>
  <si>
    <t xml:space="preserve">X.P101</t>
  </si>
  <si>
    <t xml:space="preserve">X.P106</t>
  </si>
  <si>
    <t xml:space="preserve">X.P107</t>
  </si>
  <si>
    <t xml:space="preserve">X.P108</t>
  </si>
  <si>
    <t xml:space="preserve">X.P110</t>
  </si>
  <si>
    <t xml:space="preserve">X.P111</t>
  </si>
  <si>
    <t xml:space="preserve">X.P112</t>
  </si>
  <si>
    <t xml:space="preserve">X.P113</t>
  </si>
  <si>
    <t xml:space="preserve">X.P114</t>
  </si>
  <si>
    <t xml:space="preserve">X.P115</t>
  </si>
  <si>
    <t xml:space="preserve">X.P116</t>
  </si>
  <si>
    <t xml:space="preserve">X.P117</t>
  </si>
  <si>
    <t xml:space="preserve">X.P119</t>
  </si>
  <si>
    <t xml:space="preserve">X.P120</t>
  </si>
  <si>
    <t xml:space="preserve">X.P121</t>
  </si>
  <si>
    <t xml:space="preserve">X.P124</t>
  </si>
  <si>
    <t xml:space="preserve">X.P125</t>
  </si>
  <si>
    <t xml:space="preserve">X.P127</t>
  </si>
  <si>
    <t xml:space="preserve">X.P130</t>
  </si>
  <si>
    <t xml:space="preserve">X.P131</t>
  </si>
  <si>
    <t xml:space="preserve">X.P132</t>
  </si>
  <si>
    <t xml:space="preserve">X.P133</t>
  </si>
  <si>
    <t xml:space="preserve">X.P135</t>
  </si>
  <si>
    <t xml:space="preserve">X.P141</t>
  </si>
  <si>
    <t xml:space="preserve">OTH.INV</t>
  </si>
  <si>
    <t xml:space="preserve">OTH.VSTK</t>
  </si>
  <si>
    <t xml:space="preserve">TOTAL ligne</t>
  </si>
  <si>
    <t xml:space="preserve">TOTAL colonne</t>
  </si>
  <si>
    <t xml:space="preserve">Agrégation (millions FCFA) — X consolidés avec Produits ; TI/TD/TM avec APU ; l'Unité fictive de la macro-MCS est ici dissoute dans Capital, Accumulation et RDM</t>
  </si>
  <si>
    <t xml:space="preserve">Produits</t>
  </si>
  <si>
    <t xml:space="preserve">Activités</t>
  </si>
  <si>
    <t xml:space="preserve">Travail</t>
  </si>
  <si>
    <t xml:space="preserve">Capital</t>
  </si>
  <si>
    <t xml:space="preserve">Ménages</t>
  </si>
  <si>
    <t xml:space="preserve">Entreprises</t>
  </si>
  <si>
    <t xml:space="preserve">APU</t>
  </si>
  <si>
    <t xml:space="preserve">Accumulation</t>
  </si>
  <si>
    <t xml:space="preserve">RDM</t>
  </si>
  <si>
    <t xml:space="preserve">TOTAL</t>
  </si>
  <si>
    <t xml:space="preserve">NOMENCLATURE DES COMPTES — MCS réconciliée BF 2018 (montants en millions FCFA, année de base)</t>
  </si>
  <si>
    <t xml:space="preserve">Libellés ménages/entreprises/facteurs : conventions PEP standard du fichier de calibration.</t>
  </si>
  <si>
    <t xml:space="preserve">Libellés des branches : issus de la MCS source (via exemple_resultats.xlsx).</t>
  </si>
  <si>
    <t xml:space="preserve">Libellés des produits : DÉDUITS de la branche productrice principale (part indiquée) — à confirmer avec la nomenclature INSD si besoin.</t>
  </si>
  <si>
    <t xml:space="preserve">FACTEURS, INSTITUTIONS ET AUTRES COMPTES</t>
  </si>
  <si>
    <t xml:space="preserve">Compte</t>
  </si>
  <si>
    <t xml:space="preserve">Libellé</t>
  </si>
  <si>
    <t xml:space="preserve">Travail salarié</t>
  </si>
  <si>
    <t xml:space="preserve">Travail familial / indépendant</t>
  </si>
  <si>
    <t xml:space="preserve">Capital agricole</t>
  </si>
  <si>
    <t xml:space="preserve">Capital non agricole</t>
  </si>
  <si>
    <t xml:space="preserve">Ménages ruraux pauvres</t>
  </si>
  <si>
    <t xml:space="preserve">Ménages urbains pauvres</t>
  </si>
  <si>
    <t xml:space="preserve">Ménages ruraux non pauvres</t>
  </si>
  <si>
    <t xml:space="preserve">Ménages urbains non pauvres</t>
  </si>
  <si>
    <t xml:space="preserve">Entreprises non financières</t>
  </si>
  <si>
    <t xml:space="preserve">Entreprises financières</t>
  </si>
  <si>
    <t xml:space="preserve">Administrations publiques (APU)</t>
  </si>
  <si>
    <t xml:space="preserve">Compte de collecte — impôts directs</t>
  </si>
  <si>
    <t xml:space="preserve">Compte de collecte — taxes sur les produits</t>
  </si>
  <si>
    <t xml:space="preserve">Compte de collecte — droits de douane (vide)</t>
  </si>
  <si>
    <t xml:space="preserve">Reste du monde (RdM)</t>
  </si>
  <si>
    <t xml:space="preserve">Accumulation du capital (épargne-investissement)</t>
  </si>
  <si>
    <t xml:space="preserve">Variation de stocks</t>
  </si>
  <si>
    <t xml:space="preserve">X.P1…X.P143</t>
  </si>
  <si>
    <t xml:space="preserve">Comptes d'exportation par produit (passage branches → RdM, mêmes codes que les produits)</t>
  </si>
  <si>
    <t xml:space="preserve">ACTIVITÉS (89 branches)</t>
  </si>
  <si>
    <t xml:space="preserve">Code</t>
  </si>
  <si>
    <t xml:space="preserve">Production</t>
  </si>
  <si>
    <t xml:space="preserve">Valeur ajoutée</t>
  </si>
  <si>
    <t xml:space="preserve">A1</t>
  </si>
  <si>
    <t xml:space="preserve">Culture du maïs pluvial</t>
  </si>
  <si>
    <t xml:space="preserve">A2</t>
  </si>
  <si>
    <t xml:space="preserve">Culture du maïs irrigué</t>
  </si>
  <si>
    <t xml:space="preserve">A3</t>
  </si>
  <si>
    <t xml:space="preserve">Culture du riz pluvial</t>
  </si>
  <si>
    <t xml:space="preserve">A4</t>
  </si>
  <si>
    <t xml:space="preserve">Culture du riz irrigué</t>
  </si>
  <si>
    <t xml:space="preserve">A5</t>
  </si>
  <si>
    <t xml:space="preserve">Culture du mil</t>
  </si>
  <si>
    <t xml:space="preserve">A6</t>
  </si>
  <si>
    <t xml:space="preserve">Culture du sorgho</t>
  </si>
  <si>
    <t xml:space="preserve">A7</t>
  </si>
  <si>
    <t xml:space="preserve">Culture du fonio</t>
  </si>
  <si>
    <t xml:space="preserve">A8</t>
  </si>
  <si>
    <t xml:space="preserve">Culture de manioc</t>
  </si>
  <si>
    <t xml:space="preserve">A9</t>
  </si>
  <si>
    <t xml:space="preserve">Culture de la pomme de terre</t>
  </si>
  <si>
    <t xml:space="preserve">A10</t>
  </si>
  <si>
    <t xml:space="preserve">Culture d'autres tubercules</t>
  </si>
  <si>
    <t xml:space="preserve">A11</t>
  </si>
  <si>
    <t xml:space="preserve">Culture de niébé</t>
  </si>
  <si>
    <t xml:space="preserve">A12</t>
  </si>
  <si>
    <t xml:space="preserve">Culture de vouandzou</t>
  </si>
  <si>
    <t xml:space="preserve">A14</t>
  </si>
  <si>
    <t xml:space="preserve">Culture de tomate</t>
  </si>
  <si>
    <t xml:space="preserve">A15</t>
  </si>
  <si>
    <t xml:space="preserve">Culture d'Oignon et ail</t>
  </si>
  <si>
    <t xml:space="preserve">A16</t>
  </si>
  <si>
    <t xml:space="preserve">Autre culture maraîchère</t>
  </si>
  <si>
    <t xml:space="preserve">A17</t>
  </si>
  <si>
    <t xml:space="preserve">Culture de mangue</t>
  </si>
  <si>
    <t xml:space="preserve">A18</t>
  </si>
  <si>
    <t xml:space="preserve">Culture d'anacarde</t>
  </si>
  <si>
    <t xml:space="preserve">A19</t>
  </si>
  <si>
    <t xml:space="preserve">Autre culture fruitière</t>
  </si>
  <si>
    <t xml:space="preserve">A20</t>
  </si>
  <si>
    <t xml:space="preserve">Autres cultures n.c.a.</t>
  </si>
  <si>
    <t xml:space="preserve">A21</t>
  </si>
  <si>
    <t xml:space="preserve">Culture de l' arachide</t>
  </si>
  <si>
    <t xml:space="preserve">A22</t>
  </si>
  <si>
    <t xml:space="preserve">Culture de soja</t>
  </si>
  <si>
    <t xml:space="preserve">A24</t>
  </si>
  <si>
    <t xml:space="preserve">Culture du coton</t>
  </si>
  <si>
    <t xml:space="preserve">A25</t>
  </si>
  <si>
    <t xml:space="preserve">Egrenage de coton</t>
  </si>
  <si>
    <t xml:space="preserve">A26</t>
  </si>
  <si>
    <t xml:space="preserve">Culture de sésame</t>
  </si>
  <si>
    <t xml:space="preserve">A27</t>
  </si>
  <si>
    <t xml:space="preserve">Activités de soutien à l'agricultu</t>
  </si>
  <si>
    <t xml:space="preserve">A28</t>
  </si>
  <si>
    <t xml:space="preserve">Elevage de bovins</t>
  </si>
  <si>
    <t xml:space="preserve">A29</t>
  </si>
  <si>
    <t xml:space="preserve">Elevage d'ovins et de caprins</t>
  </si>
  <si>
    <t xml:space="preserve">A30</t>
  </si>
  <si>
    <t xml:space="preserve">Elevage d'asins</t>
  </si>
  <si>
    <t xml:space="preserve">A31</t>
  </si>
  <si>
    <t xml:space="preserve">Elevage d'équidés</t>
  </si>
  <si>
    <t xml:space="preserve">A32</t>
  </si>
  <si>
    <t xml:space="preserve">Elevage de camelins</t>
  </si>
  <si>
    <t xml:space="preserve">A33</t>
  </si>
  <si>
    <t xml:space="preserve">Elevage de porcins</t>
  </si>
  <si>
    <t xml:space="preserve">A34</t>
  </si>
  <si>
    <t xml:space="preserve">Elevage d'autres animaux</t>
  </si>
  <si>
    <t xml:space="preserve">A35</t>
  </si>
  <si>
    <t xml:space="preserve">Elevage de volailles</t>
  </si>
  <si>
    <t xml:space="preserve">A36</t>
  </si>
  <si>
    <t xml:space="preserve">Cueillette de karité</t>
  </si>
  <si>
    <t xml:space="preserve">A37</t>
  </si>
  <si>
    <t xml:space="preserve">Sylviculture</t>
  </si>
  <si>
    <t xml:space="preserve">A38</t>
  </si>
  <si>
    <t xml:space="preserve">Chasse</t>
  </si>
  <si>
    <t xml:space="preserve">A39</t>
  </si>
  <si>
    <t xml:space="preserve">Pisciculture</t>
  </si>
  <si>
    <t xml:space="preserve">A40</t>
  </si>
  <si>
    <t xml:space="preserve">Autres activités aquacoles ou de p</t>
  </si>
  <si>
    <t xml:space="preserve">A41</t>
  </si>
  <si>
    <t xml:space="preserve">Exploitation forestière</t>
  </si>
  <si>
    <t xml:space="preserve">A42</t>
  </si>
  <si>
    <t xml:space="preserve">Autres activités de cueillette et </t>
  </si>
  <si>
    <t xml:space="preserve">A43</t>
  </si>
  <si>
    <t xml:space="preserve">Activités d'extraction d'or</t>
  </si>
  <si>
    <t xml:space="preserve">A44</t>
  </si>
  <si>
    <t xml:space="preserve">Autres activités d'extraction</t>
  </si>
  <si>
    <t xml:space="preserve">A45</t>
  </si>
  <si>
    <t xml:space="preserve">Abattage, transformation et conser</t>
  </si>
  <si>
    <t xml:space="preserve">A46</t>
  </si>
  <si>
    <t xml:space="preserve">transformation et conservation des</t>
  </si>
  <si>
    <t xml:space="preserve">A48</t>
  </si>
  <si>
    <t xml:space="preserve">Fabrication de corps gras alimenta</t>
  </si>
  <si>
    <t xml:space="preserve">A49</t>
  </si>
  <si>
    <t xml:space="preserve">Travail des grains ; fabrication d</t>
  </si>
  <si>
    <t xml:space="preserve">A50</t>
  </si>
  <si>
    <t xml:space="preserve">Fabrication d’aliments pour animau</t>
  </si>
  <si>
    <t xml:space="preserve">A51</t>
  </si>
  <si>
    <t xml:space="preserve">Fabrication de condiments et d'ass</t>
  </si>
  <si>
    <t xml:space="preserve">A52</t>
  </si>
  <si>
    <t xml:space="preserve">Fabrication de café et de thé</t>
  </si>
  <si>
    <t xml:space="preserve">A53</t>
  </si>
  <si>
    <t xml:space="preserve">Fabrication de produits laitiers e</t>
  </si>
  <si>
    <t xml:space="preserve">A54</t>
  </si>
  <si>
    <t xml:space="preserve">Fabrication de produits alimentair</t>
  </si>
  <si>
    <t xml:space="preserve">A55</t>
  </si>
  <si>
    <t xml:space="preserve">Fabrication de sucre, confiserie, </t>
  </si>
  <si>
    <t xml:space="preserve">A56</t>
  </si>
  <si>
    <t xml:space="preserve">Fabrications de produits alimentai</t>
  </si>
  <si>
    <t xml:space="preserve">A57</t>
  </si>
  <si>
    <t xml:space="preserve">Fabrication de boissons</t>
  </si>
  <si>
    <t xml:space="preserve">A58</t>
  </si>
  <si>
    <t xml:space="preserve">Fabrication de produits à base de </t>
  </si>
  <si>
    <t xml:space="preserve">A59</t>
  </si>
  <si>
    <t xml:space="preserve">Fabrication de textile et article </t>
  </si>
  <si>
    <t xml:space="preserve">A60</t>
  </si>
  <si>
    <t xml:space="preserve">Travail du cuir; fabrication d'art</t>
  </si>
  <si>
    <t xml:space="preserve">A61</t>
  </si>
  <si>
    <t xml:space="preserve">Travail du bois; fabrication d'art</t>
  </si>
  <si>
    <t xml:space="preserve">A62</t>
  </si>
  <si>
    <t xml:space="preserve">Fabrication de papier, de carton e</t>
  </si>
  <si>
    <t xml:space="preserve">A63</t>
  </si>
  <si>
    <t xml:space="preserve">Imprimerie, édition, enregistremen</t>
  </si>
  <si>
    <t xml:space="preserve">A65</t>
  </si>
  <si>
    <t xml:space="preserve">Fabrication de médicaments traditi</t>
  </si>
  <si>
    <t xml:space="preserve">A66</t>
  </si>
  <si>
    <t xml:space="preserve">Fabrication de savons, de parfums </t>
  </si>
  <si>
    <t xml:space="preserve">A67</t>
  </si>
  <si>
    <t xml:space="preserve">fabrication d'autres produits chim</t>
  </si>
  <si>
    <t xml:space="preserve">A68</t>
  </si>
  <si>
    <t xml:space="preserve">Fabrication de produits en caoutch</t>
  </si>
  <si>
    <t xml:space="preserve">A69</t>
  </si>
  <si>
    <t xml:space="preserve">Fabrication verre, potérie et maté</t>
  </si>
  <si>
    <t xml:space="preserve">A70</t>
  </si>
  <si>
    <t xml:space="preserve">Métallurgie, fonderie; fabrication</t>
  </si>
  <si>
    <t xml:space="preserve">A71</t>
  </si>
  <si>
    <t xml:space="preserve">Fabrication de machines et de maté</t>
  </si>
  <si>
    <t xml:space="preserve">A72</t>
  </si>
  <si>
    <t xml:space="preserve">Équipements et appareils de radio,</t>
  </si>
  <si>
    <t xml:space="preserve">A73</t>
  </si>
  <si>
    <t xml:space="preserve">Construction de matériels de trans</t>
  </si>
  <si>
    <t xml:space="preserve">A74</t>
  </si>
  <si>
    <t xml:space="preserve">Fabrication de meuble, fabrication</t>
  </si>
  <si>
    <t xml:space="preserve">A75</t>
  </si>
  <si>
    <t xml:space="preserve">Production et distribution d'élect</t>
  </si>
  <si>
    <t xml:space="preserve">A76</t>
  </si>
  <si>
    <t xml:space="preserve">Captage, traitement et distributio</t>
  </si>
  <si>
    <t xml:space="preserve">A77</t>
  </si>
  <si>
    <t xml:space="preserve">Construction</t>
  </si>
  <si>
    <t xml:space="preserve">A79</t>
  </si>
  <si>
    <t xml:space="preserve">Autres commerces</t>
  </si>
  <si>
    <t xml:space="preserve">A80</t>
  </si>
  <si>
    <t xml:space="preserve">Activités de réparation</t>
  </si>
  <si>
    <t xml:space="preserve">A81</t>
  </si>
  <si>
    <t xml:space="preserve">Activités d'hébergement</t>
  </si>
  <si>
    <t xml:space="preserve">A82</t>
  </si>
  <si>
    <t xml:space="preserve">Activités de restauration</t>
  </si>
  <si>
    <t xml:space="preserve">A83</t>
  </si>
  <si>
    <t xml:space="preserve">Transports</t>
  </si>
  <si>
    <t xml:space="preserve">A84</t>
  </si>
  <si>
    <t xml:space="preserve">Postes et télécommunications</t>
  </si>
  <si>
    <t xml:space="preserve">A85</t>
  </si>
  <si>
    <t xml:space="preserve">Activités financières</t>
  </si>
  <si>
    <t xml:space="preserve">A86</t>
  </si>
  <si>
    <t xml:space="preserve">Activités immobilières</t>
  </si>
  <si>
    <t xml:space="preserve">A87</t>
  </si>
  <si>
    <t xml:space="preserve">Activités de services aux entrepri</t>
  </si>
  <si>
    <t xml:space="preserve">A88</t>
  </si>
  <si>
    <t xml:space="preserve">Activités de Recherche-Dévéloppeme</t>
  </si>
  <si>
    <t xml:space="preserve">A89</t>
  </si>
  <si>
    <t xml:space="preserve">Activités de services vétérinaires</t>
  </si>
  <si>
    <t xml:space="preserve">A90</t>
  </si>
  <si>
    <t xml:space="preserve">Activités d'administration publiqu</t>
  </si>
  <si>
    <t xml:space="preserve">A91</t>
  </si>
  <si>
    <t xml:space="preserve">Education</t>
  </si>
  <si>
    <t xml:space="preserve">A92</t>
  </si>
  <si>
    <t xml:space="preserve">Activités de santé et d'action soc</t>
  </si>
  <si>
    <t xml:space="preserve">A93</t>
  </si>
  <si>
    <t xml:space="preserve">Activités à caractère collectif ou</t>
  </si>
  <si>
    <t xml:space="preserve">(A_UF : uniquement dans la MCS réconciliée)</t>
  </si>
  <si>
    <t xml:space="preserve">PRODUITS (139)</t>
  </si>
  <si>
    <t xml:space="preserve">Libellé (déduit)</t>
  </si>
  <si>
    <t xml:space="preserve">Branche principale</t>
  </si>
  <si>
    <t xml:space="preserve">Offre domestique</t>
  </si>
  <si>
    <t xml:space="preserve">Imports</t>
  </si>
  <si>
    <t xml:space="preserve">Exports</t>
  </si>
  <si>
    <t xml:space="preserve">Taxes (TI)</t>
  </si>
  <si>
    <t xml:space="preserve">Conso ménages</t>
  </si>
  <si>
    <t xml:space="preserve">P1</t>
  </si>
  <si>
    <t xml:space="preserve">Culture du maïs pluvial (prod. principal, 98%)</t>
  </si>
  <si>
    <t xml:space="preserve">P2</t>
  </si>
  <si>
    <t xml:space="preserve">Culture du maïs irrigué (prod. principal, 98%)</t>
  </si>
  <si>
    <t xml:space="preserve">P3</t>
  </si>
  <si>
    <t xml:space="preserve">Culture du riz pluvial (prod. principal, 88%)</t>
  </si>
  <si>
    <t xml:space="preserve">P4</t>
  </si>
  <si>
    <t xml:space="preserve">Culture du riz irrigué (prod. principal, 88%)</t>
  </si>
  <si>
    <t xml:space="preserve">P5</t>
  </si>
  <si>
    <t xml:space="preserve">Culture du mil (prod. principal, 100%)</t>
  </si>
  <si>
    <t xml:space="preserve">P6</t>
  </si>
  <si>
    <t xml:space="preserve">Culture du sorgho (prod. principal, 100%)</t>
  </si>
  <si>
    <t xml:space="preserve">P7</t>
  </si>
  <si>
    <t xml:space="preserve">Culture du fonio (prod. principal, 100%)</t>
  </si>
  <si>
    <t xml:space="preserve">P8</t>
  </si>
  <si>
    <t xml:space="preserve">Culture de manioc (prod. principal, 95%)</t>
  </si>
  <si>
    <t xml:space="preserve">P9</t>
  </si>
  <si>
    <t xml:space="preserve">Branche informelle (Unité fictive) (prod. principal, 54%)</t>
  </si>
  <si>
    <t xml:space="preserve">A_UF</t>
  </si>
  <si>
    <t xml:space="preserve">P10</t>
  </si>
  <si>
    <t xml:space="preserve">Culture d'autres tubercules (prod. principal, 100%)</t>
  </si>
  <si>
    <t xml:space="preserve">P11</t>
  </si>
  <si>
    <t xml:space="preserve">P13</t>
  </si>
  <si>
    <t xml:space="preserve">Culture de niébé (prod. principal, 100%)</t>
  </si>
  <si>
    <t xml:space="preserve">P14</t>
  </si>
  <si>
    <t xml:space="preserve">Culture de vouandzou (prod. principal, 100%)</t>
  </si>
  <si>
    <t xml:space="preserve">P15</t>
  </si>
  <si>
    <t xml:space="preserve">Fabrication de produits alimentair (prod. principal, 100%)</t>
  </si>
  <si>
    <t xml:space="preserve">P16</t>
  </si>
  <si>
    <t xml:space="preserve">Culture de tomate (prod. principal, 100%)</t>
  </si>
  <si>
    <t xml:space="preserve">P17</t>
  </si>
  <si>
    <t xml:space="preserve">Culture d'Oignon et ail (prod. principal, 97%)</t>
  </si>
  <si>
    <t xml:space="preserve">P18</t>
  </si>
  <si>
    <t xml:space="preserve">Autre culture maraîchère (prod. principal, 100%)</t>
  </si>
  <si>
    <t xml:space="preserve">P19</t>
  </si>
  <si>
    <t xml:space="preserve">P20</t>
  </si>
  <si>
    <t xml:space="preserve">P21</t>
  </si>
  <si>
    <t xml:space="preserve">P22</t>
  </si>
  <si>
    <t xml:space="preserve">Autre culture maraîchère (prod. principal, 77%)</t>
  </si>
  <si>
    <t xml:space="preserve">P23</t>
  </si>
  <si>
    <t xml:space="preserve">Culture de mangue (prod. principal, 100%)</t>
  </si>
  <si>
    <t xml:space="preserve">P24</t>
  </si>
  <si>
    <t xml:space="preserve">Culture d'anacarde (prod. principal, 100%)</t>
  </si>
  <si>
    <t xml:space="preserve">P25</t>
  </si>
  <si>
    <t xml:space="preserve">Autre culture fruitière (prod. principal, 98%)</t>
  </si>
  <si>
    <t xml:space="preserve">P26</t>
  </si>
  <si>
    <t xml:space="preserve">Autre culture fruitière (prod. principal, 97%)</t>
  </si>
  <si>
    <t xml:space="preserve">P27</t>
  </si>
  <si>
    <t xml:space="preserve">Autres cultures n.c.a. (prod. principal, 60%)</t>
  </si>
  <si>
    <t xml:space="preserve">P28</t>
  </si>
  <si>
    <t xml:space="preserve">Culture de l' arachide (prod. principal, 100%)</t>
  </si>
  <si>
    <t xml:space="preserve">P29</t>
  </si>
  <si>
    <t xml:space="preserve">Culture de soja (prod. principal, 100%)</t>
  </si>
  <si>
    <t xml:space="preserve">P31</t>
  </si>
  <si>
    <t xml:space="preserve">Culture du coton (prod. principal, 100%)</t>
  </si>
  <si>
    <t xml:space="preserve">P32</t>
  </si>
  <si>
    <t xml:space="preserve">Egrenage de coton (prod. principal, 100%)</t>
  </si>
  <si>
    <t xml:space="preserve">P33</t>
  </si>
  <si>
    <t xml:space="preserve">Egrenage de coton (prod. principal, 97%)</t>
  </si>
  <si>
    <t xml:space="preserve">P34</t>
  </si>
  <si>
    <t xml:space="preserve">Culture de sésame (prod. principal, 99%)</t>
  </si>
  <si>
    <t xml:space="preserve">P35</t>
  </si>
  <si>
    <t xml:space="preserve">Activités de soutien à l'agricultu (prod. principal, 100%)</t>
  </si>
  <si>
    <t xml:space="preserve">P36</t>
  </si>
  <si>
    <t xml:space="preserve">Cueillette de karité (prod. principal, 100%)</t>
  </si>
  <si>
    <t xml:space="preserve">P37</t>
  </si>
  <si>
    <t xml:space="preserve">Elevage de bovins (prod. principal, 100%)</t>
  </si>
  <si>
    <t xml:space="preserve">P38</t>
  </si>
  <si>
    <t xml:space="preserve">P39</t>
  </si>
  <si>
    <t xml:space="preserve">P40</t>
  </si>
  <si>
    <t xml:space="preserve">Elevage d'ovins et de caprins (prod. principal, 100%)</t>
  </si>
  <si>
    <t xml:space="preserve">P41</t>
  </si>
  <si>
    <t xml:space="preserve">P42</t>
  </si>
  <si>
    <t xml:space="preserve">P43</t>
  </si>
  <si>
    <t xml:space="preserve">Elevage d'asins (prod. principal, 100%)</t>
  </si>
  <si>
    <t xml:space="preserve">P44</t>
  </si>
  <si>
    <t xml:space="preserve">Elevage d'équidés (prod. principal, 99%)</t>
  </si>
  <si>
    <t xml:space="preserve">P45</t>
  </si>
  <si>
    <t xml:space="preserve">Elevage de camelins (prod. principal, 99%)</t>
  </si>
  <si>
    <t xml:space="preserve">P46</t>
  </si>
  <si>
    <t xml:space="preserve">Elevage de camelins (prod. principal, 100%)</t>
  </si>
  <si>
    <t xml:space="preserve">P47</t>
  </si>
  <si>
    <t xml:space="preserve">Elevage de porcins (prod. principal, 100%)</t>
  </si>
  <si>
    <t xml:space="preserve">P48</t>
  </si>
  <si>
    <t xml:space="preserve">Elevage de volailles (prod. principal, 100%)</t>
  </si>
  <si>
    <t xml:space="preserve">P49</t>
  </si>
  <si>
    <t xml:space="preserve">Elevage d'autres animaux (prod. principal, 99%)</t>
  </si>
  <si>
    <t xml:space="preserve">P50</t>
  </si>
  <si>
    <t xml:space="preserve">P51</t>
  </si>
  <si>
    <t xml:space="preserve">P52</t>
  </si>
  <si>
    <t xml:space="preserve">Sylviculture (prod. principal, 100%)</t>
  </si>
  <si>
    <t xml:space="preserve">P53</t>
  </si>
  <si>
    <t xml:space="preserve">P54</t>
  </si>
  <si>
    <t xml:space="preserve">Autres activités de cueillette et  (prod. principal, 100%)</t>
  </si>
  <si>
    <t xml:space="preserve">P55</t>
  </si>
  <si>
    <t xml:space="preserve">Exploitation forestière (prod. principal, 99%)</t>
  </si>
  <si>
    <t xml:space="preserve">P56</t>
  </si>
  <si>
    <t xml:space="preserve">Chasse (prod. principal, 100%)</t>
  </si>
  <si>
    <t xml:space="preserve">P57</t>
  </si>
  <si>
    <t xml:space="preserve">Autres activités aquacoles ou de p (prod. principal, 100%)</t>
  </si>
  <si>
    <t xml:space="preserve">P58</t>
  </si>
  <si>
    <t xml:space="preserve">Pisciculture (prod. principal, 100%)</t>
  </si>
  <si>
    <t xml:space="preserve">P59</t>
  </si>
  <si>
    <t xml:space="preserve">P60</t>
  </si>
  <si>
    <t xml:space="preserve">Activités d'extraction d'or (prod. principal, 100%)</t>
  </si>
  <si>
    <t xml:space="preserve">P61</t>
  </si>
  <si>
    <t xml:space="preserve">Autres activités d'extraction (prod. principal, 80%)</t>
  </si>
  <si>
    <t xml:space="preserve">P62</t>
  </si>
  <si>
    <t xml:space="preserve">Abattage, transformation et conser (prod. principal, 99%)</t>
  </si>
  <si>
    <t xml:space="preserve">P63</t>
  </si>
  <si>
    <t xml:space="preserve">P64</t>
  </si>
  <si>
    <t xml:space="preserve">Branche informelle (Unité fictive) (prod. principal, 100%)</t>
  </si>
  <si>
    <t xml:space="preserve">P65</t>
  </si>
  <si>
    <t xml:space="preserve">transformation et conservation des (prod. principal, 76%)</t>
  </si>
  <si>
    <t xml:space="preserve">P66</t>
  </si>
  <si>
    <t xml:space="preserve">Fabrications de produits alimentai (prod. principal, 48%)</t>
  </si>
  <si>
    <t xml:space="preserve">P67</t>
  </si>
  <si>
    <t xml:space="preserve">Fabrication de corps gras alimenta (prod. principal, 99%)</t>
  </si>
  <si>
    <t xml:space="preserve">P68</t>
  </si>
  <si>
    <t xml:space="preserve">P69</t>
  </si>
  <si>
    <t xml:space="preserve">Travail des grains ; fabrication d (prod. principal, 68%)</t>
  </si>
  <si>
    <t xml:space="preserve">P70</t>
  </si>
  <si>
    <t xml:space="preserve">Fabrication de corps gras alimenta (prod. principal, 70%)</t>
  </si>
  <si>
    <t xml:space="preserve">P71</t>
  </si>
  <si>
    <t xml:space="preserve">Fabrication de corps gras alimenta (prod. principal, 100%)</t>
  </si>
  <si>
    <t xml:space="preserve">P72</t>
  </si>
  <si>
    <t xml:space="preserve">P73</t>
  </si>
  <si>
    <t xml:space="preserve">Fabrication de corps gras alimenta (prod. principal, 97%)</t>
  </si>
  <si>
    <t xml:space="preserve">P74</t>
  </si>
  <si>
    <t xml:space="preserve">Fabrication de produits alimentair (prod. principal, 39%)</t>
  </si>
  <si>
    <t xml:space="preserve">P75</t>
  </si>
  <si>
    <t xml:space="preserve">Travail des grains ; fabrication d (prod. principal, 60%)</t>
  </si>
  <si>
    <t xml:space="preserve">P76</t>
  </si>
  <si>
    <t xml:space="preserve">Travail des grains ; fabrication d (prod. principal, 86%)</t>
  </si>
  <si>
    <t xml:space="preserve">P77</t>
  </si>
  <si>
    <t xml:space="preserve">Travail des grains ; fabrication d (prod. principal, 98%)</t>
  </si>
  <si>
    <t xml:space="preserve">P78</t>
  </si>
  <si>
    <t xml:space="preserve">Fabrications de produits alimentai (prod. principal, 75%)</t>
  </si>
  <si>
    <t xml:space="preserve">P79</t>
  </si>
  <si>
    <t xml:space="preserve">Fabrication de boissons (prod. principal, 75%)</t>
  </si>
  <si>
    <t xml:space="preserve">P80</t>
  </si>
  <si>
    <t xml:space="preserve">Activités de réparation (prod. principal, 68%)</t>
  </si>
  <si>
    <t xml:space="preserve">P81</t>
  </si>
  <si>
    <t xml:space="preserve">Fabrication d’aliments pour animau (prod. principal, 95%)</t>
  </si>
  <si>
    <t xml:space="preserve">P82</t>
  </si>
  <si>
    <t xml:space="preserve">Activités de restauration (prod. principal, 84%)</t>
  </si>
  <si>
    <t xml:space="preserve">P83</t>
  </si>
  <si>
    <t xml:space="preserve">Fabrication de produits alimentair (prod. principal, 93%)</t>
  </si>
  <si>
    <t xml:space="preserve">P84</t>
  </si>
  <si>
    <t xml:space="preserve">Branche informelle (Unité fictive) (prod. principal, 51%)</t>
  </si>
  <si>
    <t xml:space="preserve">P85</t>
  </si>
  <si>
    <t xml:space="preserve">Fabrication de sucre, confiserie,  (prod. principal, 55%)</t>
  </si>
  <si>
    <t xml:space="preserve">P86</t>
  </si>
  <si>
    <t xml:space="preserve">Fabrication de sucre, confiserie,  (prod. principal, 51%)</t>
  </si>
  <si>
    <t xml:space="preserve">P87</t>
  </si>
  <si>
    <t xml:space="preserve">Branche informelle (Unité fictive) (prod. principal, 99%)</t>
  </si>
  <si>
    <t xml:space="preserve">P88</t>
  </si>
  <si>
    <t xml:space="preserve">Branche informelle (Unité fictive) (prod. principal, 56%)</t>
  </si>
  <si>
    <t xml:space="preserve">P89</t>
  </si>
  <si>
    <t xml:space="preserve">Fabrication de condiments et d'ass (prod. principal, 99%)</t>
  </si>
  <si>
    <t xml:space="preserve">P90</t>
  </si>
  <si>
    <t xml:space="preserve">Branche informelle (Unité fictive) (prod. principal, 58%)</t>
  </si>
  <si>
    <t xml:space="preserve">P91</t>
  </si>
  <si>
    <t xml:space="preserve">Fabrication de boissons (prod. principal, 87%)</t>
  </si>
  <si>
    <t xml:space="preserve">P92</t>
  </si>
  <si>
    <t xml:space="preserve">Fabrication de boissons (prod. principal, 78%)</t>
  </si>
  <si>
    <t xml:space="preserve">P93</t>
  </si>
  <si>
    <t xml:space="preserve">P94</t>
  </si>
  <si>
    <t xml:space="preserve">Fabrication de corps gras alimenta (prod. principal, 51%)</t>
  </si>
  <si>
    <t xml:space="preserve">P95</t>
  </si>
  <si>
    <t xml:space="preserve">Fabrication de boissons (prod. principal, 59%)</t>
  </si>
  <si>
    <t xml:space="preserve">P96</t>
  </si>
  <si>
    <t xml:space="preserve">Fabrication de produits à base de  (prod. principal, 99%)</t>
  </si>
  <si>
    <t xml:space="preserve">P97</t>
  </si>
  <si>
    <t xml:space="preserve">Fabrication de produits à base de  (prod. principal, 91%)</t>
  </si>
  <si>
    <t xml:space="preserve">P98</t>
  </si>
  <si>
    <t xml:space="preserve">Fabrication de textile et article  (prod. principal, 96%)</t>
  </si>
  <si>
    <t xml:space="preserve">P99</t>
  </si>
  <si>
    <t xml:space="preserve">P100</t>
  </si>
  <si>
    <t xml:space="preserve">Fabrication de textile et article  (prod. principal, 52%)</t>
  </si>
  <si>
    <t xml:space="preserve">P101</t>
  </si>
  <si>
    <t xml:space="preserve">Travail du cuir; fabrication d'art (prod. principal, 65%)</t>
  </si>
  <si>
    <t xml:space="preserve">P102</t>
  </si>
  <si>
    <t xml:space="preserve">Fabrication de textile et article  (prod. principal, 98%)</t>
  </si>
  <si>
    <t xml:space="preserve">P103</t>
  </si>
  <si>
    <t xml:space="preserve">Fabrication de textile et article  (prod. principal, 89%)</t>
  </si>
  <si>
    <t xml:space="preserve">P104</t>
  </si>
  <si>
    <t xml:space="preserve">P105</t>
  </si>
  <si>
    <t xml:space="preserve">Travail du bois; fabrication d'art (prod. principal, 69%)</t>
  </si>
  <si>
    <t xml:space="preserve">P106</t>
  </si>
  <si>
    <t xml:space="preserve">Travail du bois; fabrication d'art (prod. principal, 96%)</t>
  </si>
  <si>
    <t xml:space="preserve">P107</t>
  </si>
  <si>
    <t xml:space="preserve">Branche informelle (Unité fictive) (prod. principal, 79%)</t>
  </si>
  <si>
    <t xml:space="preserve">P108</t>
  </si>
  <si>
    <t xml:space="preserve">Imprimerie, édition, enregistremen (prod. principal, 96%)</t>
  </si>
  <si>
    <t xml:space="preserve">P109</t>
  </si>
  <si>
    <t xml:space="preserve">P110</t>
  </si>
  <si>
    <t xml:space="preserve">Branche informelle (Unité fictive) (prod. principal, 86%)</t>
  </si>
  <si>
    <t xml:space="preserve">P111</t>
  </si>
  <si>
    <t xml:space="preserve">Fabrication de savons, de parfums  (prod. principal, 39%)</t>
  </si>
  <si>
    <t xml:space="preserve">P112</t>
  </si>
  <si>
    <t xml:space="preserve">Branche informelle (Unité fictive) (prod. principal, 60%)</t>
  </si>
  <si>
    <t xml:space="preserve">P113</t>
  </si>
  <si>
    <t xml:space="preserve">Branche informelle (Unité fictive) (prod. principal, 80%)</t>
  </si>
  <si>
    <t xml:space="preserve">P114</t>
  </si>
  <si>
    <t xml:space="preserve">Fabrication verre, potérie et maté (prod. principal, 85%)</t>
  </si>
  <si>
    <t xml:space="preserve">P115</t>
  </si>
  <si>
    <t xml:space="preserve">Fabrication verre, potérie et maté (prod. principal, 53%)</t>
  </si>
  <si>
    <t xml:space="preserve">P116</t>
  </si>
  <si>
    <t xml:space="preserve">Métallurgie, fonderie; fabrication (prod. principal, 67%)</t>
  </si>
  <si>
    <t xml:space="preserve">P117</t>
  </si>
  <si>
    <t xml:space="preserve">P118</t>
  </si>
  <si>
    <t xml:space="preserve">Fabrication de meuble, fabrication (prod. principal, 90%)</t>
  </si>
  <si>
    <t xml:space="preserve">P119</t>
  </si>
  <si>
    <t xml:space="preserve">Équipements et appareils de radio, (prod. principal, 64%)</t>
  </si>
  <si>
    <t xml:space="preserve">P120</t>
  </si>
  <si>
    <t xml:space="preserve">Branche informelle (Unité fictive) (prod. principal, 98%)</t>
  </si>
  <si>
    <t xml:space="preserve">P121</t>
  </si>
  <si>
    <t xml:space="preserve">Fabrication de meuble, fabrication (prod. principal, 42%)</t>
  </si>
  <si>
    <t xml:space="preserve">P122</t>
  </si>
  <si>
    <t xml:space="preserve">Production et distribution d'élect (prod. principal, 91%)</t>
  </si>
  <si>
    <t xml:space="preserve">P123</t>
  </si>
  <si>
    <t xml:space="preserve">Captage, traitement et distributio (prod. principal, 100%)</t>
  </si>
  <si>
    <t xml:space="preserve">P124</t>
  </si>
  <si>
    <t xml:space="preserve">Construction (prod. principal, 94%)</t>
  </si>
  <si>
    <t xml:space="preserve">P125</t>
  </si>
  <si>
    <t xml:space="preserve">Branche informelle (Unité fictive) (prod. principal, 62%)</t>
  </si>
  <si>
    <t xml:space="preserve">P126</t>
  </si>
  <si>
    <t xml:space="preserve">Autres commerces (prod. principal, 96%)</t>
  </si>
  <si>
    <t xml:space="preserve">P127</t>
  </si>
  <si>
    <t xml:space="preserve">Activités de réparation (prod. principal, 77%)</t>
  </si>
  <si>
    <t xml:space="preserve">P128</t>
  </si>
  <si>
    <t xml:space="preserve">Activités d'hébergement (prod. principal, 100%)</t>
  </si>
  <si>
    <t xml:space="preserve">P129</t>
  </si>
  <si>
    <t xml:space="preserve">Activités de restauration (prod. principal, 86%)</t>
  </si>
  <si>
    <t xml:space="preserve">P130</t>
  </si>
  <si>
    <t xml:space="preserve">Transports (prod. principal, 89%)</t>
  </si>
  <si>
    <t xml:space="preserve">P131</t>
  </si>
  <si>
    <t xml:space="preserve">Postes et télécommunications (prod. principal, 94%)</t>
  </si>
  <si>
    <t xml:space="preserve">P132</t>
  </si>
  <si>
    <t xml:space="preserve">Activités financières (prod. principal, 86%)</t>
  </si>
  <si>
    <t xml:space="preserve">P133</t>
  </si>
  <si>
    <t xml:space="preserve">Activités immobilières (prod. principal, 100%)</t>
  </si>
  <si>
    <t xml:space="preserve">P134</t>
  </si>
  <si>
    <t xml:space="preserve">Activités de services aux entrepri (prod. principal, 85%)</t>
  </si>
  <si>
    <t xml:space="preserve">P135</t>
  </si>
  <si>
    <t xml:space="preserve">Activités de Recherche-Dévéloppeme (prod. principal, 82%)</t>
  </si>
  <si>
    <t xml:space="preserve">P136</t>
  </si>
  <si>
    <t xml:space="preserve">Activités de services vétérinaires (prod. principal, 100%)</t>
  </si>
  <si>
    <t xml:space="preserve">P137</t>
  </si>
  <si>
    <t xml:space="preserve">Activités d'administration publiqu (prod. principal, 69%)</t>
  </si>
  <si>
    <t xml:space="preserve">P138</t>
  </si>
  <si>
    <t xml:space="preserve">Education (prod. principal, 76%)</t>
  </si>
  <si>
    <t xml:space="preserve">P139</t>
  </si>
  <si>
    <t xml:space="preserve">Activités de santé et d'action soc (prod. principal, 81%)</t>
  </si>
  <si>
    <t xml:space="preserve">P140</t>
  </si>
  <si>
    <t xml:space="preserve">Activités à caractère collectif ou (prod. principal, 90%)</t>
  </si>
  <si>
    <t xml:space="preserve">P141</t>
  </si>
  <si>
    <t xml:space="preserve">Branche informelle (Unité fictive) (prod. principal, 72%)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</si>
</sst>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"/>
    <numFmt numFmtId="166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7F1D1D"/>
        <bgColor rgb="FF800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7F1D1D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X3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</cols>
  <sheetData>
    <row r="1" customFormat="false" ht="15" hidden="false" customHeight="false" outlineLevel="0" collapsed="false">
      <c r="A1" s="3" t="s">
        <v>13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23</v>
      </c>
      <c r="L1" s="3" t="s">
        <v>24</v>
      </c>
      <c r="M1" s="3" t="s">
        <v>25</v>
      </c>
      <c r="N1" s="3" t="s">
        <v>26</v>
      </c>
      <c r="O1" s="3" t="s">
        <v>27</v>
      </c>
      <c r="P1" s="3" t="s">
        <v>28</v>
      </c>
      <c r="Q1" s="3" t="s">
        <v>29</v>
      </c>
      <c r="R1" s="3" t="s">
        <v>30</v>
      </c>
      <c r="S1" s="3" t="s">
        <v>31</v>
      </c>
      <c r="T1" s="3" t="s">
        <v>32</v>
      </c>
      <c r="U1" s="3" t="s">
        <v>33</v>
      </c>
      <c r="V1" s="3" t="s">
        <v>34</v>
      </c>
      <c r="W1" s="3" t="s">
        <v>35</v>
      </c>
      <c r="X1" s="3" t="s">
        <v>36</v>
      </c>
      <c r="Y1" s="3" t="s">
        <v>37</v>
      </c>
      <c r="Z1" s="3" t="s">
        <v>38</v>
      </c>
      <c r="AA1" s="3" t="s">
        <v>39</v>
      </c>
      <c r="AB1" s="3" t="s">
        <v>40</v>
      </c>
      <c r="AC1" s="3" t="s">
        <v>41</v>
      </c>
      <c r="AD1" s="3" t="s">
        <v>42</v>
      </c>
      <c r="AE1" s="3" t="s">
        <v>43</v>
      </c>
      <c r="AF1" s="3" t="s">
        <v>44</v>
      </c>
      <c r="AG1" s="3" t="s">
        <v>45</v>
      </c>
      <c r="AH1" s="3" t="s">
        <v>46</v>
      </c>
      <c r="AI1" s="3" t="s">
        <v>47</v>
      </c>
      <c r="AJ1" s="3" t="s">
        <v>48</v>
      </c>
      <c r="AK1" s="3" t="s">
        <v>49</v>
      </c>
      <c r="AL1" s="3" t="s">
        <v>50</v>
      </c>
      <c r="AM1" s="3" t="s">
        <v>51</v>
      </c>
      <c r="AN1" s="3" t="s">
        <v>52</v>
      </c>
      <c r="AO1" s="3" t="s">
        <v>53</v>
      </c>
      <c r="AP1" s="3" t="s">
        <v>54</v>
      </c>
      <c r="AQ1" s="3" t="s">
        <v>55</v>
      </c>
      <c r="AR1" s="3" t="s">
        <v>56</v>
      </c>
      <c r="AS1" s="3" t="s">
        <v>57</v>
      </c>
      <c r="AT1" s="3" t="s">
        <v>58</v>
      </c>
      <c r="AU1" s="3" t="s">
        <v>59</v>
      </c>
      <c r="AV1" s="3" t="s">
        <v>60</v>
      </c>
      <c r="AW1" s="3" t="s">
        <v>61</v>
      </c>
      <c r="AX1" s="3" t="s">
        <v>62</v>
      </c>
      <c r="AY1" s="3" t="s">
        <v>63</v>
      </c>
      <c r="AZ1" s="3" t="s">
        <v>64</v>
      </c>
      <c r="BA1" s="3" t="s">
        <v>65</v>
      </c>
      <c r="BB1" s="3" t="s">
        <v>66</v>
      </c>
      <c r="BC1" s="3" t="s">
        <v>67</v>
      </c>
      <c r="BD1" s="3" t="s">
        <v>68</v>
      </c>
      <c r="BE1" s="3" t="s">
        <v>69</v>
      </c>
      <c r="BF1" s="3" t="s">
        <v>70</v>
      </c>
      <c r="BG1" s="3" t="s">
        <v>71</v>
      </c>
      <c r="BH1" s="3" t="s">
        <v>72</v>
      </c>
      <c r="BI1" s="3" t="s">
        <v>73</v>
      </c>
      <c r="BJ1" s="3" t="s">
        <v>74</v>
      </c>
      <c r="BK1" s="3" t="s">
        <v>75</v>
      </c>
      <c r="BL1" s="3" t="s">
        <v>76</v>
      </c>
      <c r="BM1" s="3" t="s">
        <v>77</v>
      </c>
      <c r="BN1" s="3" t="s">
        <v>78</v>
      </c>
      <c r="BO1" s="3" t="s">
        <v>79</v>
      </c>
      <c r="BP1" s="3" t="s">
        <v>80</v>
      </c>
      <c r="BQ1" s="3" t="s">
        <v>81</v>
      </c>
      <c r="BR1" s="3" t="s">
        <v>82</v>
      </c>
      <c r="BS1" s="3" t="s">
        <v>83</v>
      </c>
      <c r="BT1" s="3" t="s">
        <v>84</v>
      </c>
      <c r="BU1" s="3" t="s">
        <v>85</v>
      </c>
      <c r="BV1" s="3" t="s">
        <v>86</v>
      </c>
      <c r="BW1" s="3" t="s">
        <v>87</v>
      </c>
      <c r="BX1" s="3" t="s">
        <v>88</v>
      </c>
      <c r="BY1" s="3" t="s">
        <v>89</v>
      </c>
      <c r="BZ1" s="3" t="s">
        <v>90</v>
      </c>
      <c r="CA1" s="3" t="s">
        <v>91</v>
      </c>
      <c r="CB1" s="3" t="s">
        <v>92</v>
      </c>
      <c r="CC1" s="3" t="s">
        <v>93</v>
      </c>
      <c r="CD1" s="3" t="s">
        <v>94</v>
      </c>
      <c r="CE1" s="3" t="s">
        <v>95</v>
      </c>
      <c r="CF1" s="3" t="s">
        <v>96</v>
      </c>
      <c r="CG1" s="3" t="s">
        <v>97</v>
      </c>
      <c r="CH1" s="3" t="s">
        <v>98</v>
      </c>
      <c r="CI1" s="3" t="s">
        <v>99</v>
      </c>
      <c r="CJ1" s="3" t="s">
        <v>100</v>
      </c>
      <c r="CK1" s="3" t="s">
        <v>101</v>
      </c>
      <c r="CL1" s="3" t="s">
        <v>102</v>
      </c>
      <c r="CM1" s="3" t="s">
        <v>103</v>
      </c>
      <c r="CN1" s="3" t="s">
        <v>104</v>
      </c>
      <c r="CO1" s="3" t="s">
        <v>105</v>
      </c>
      <c r="CP1" s="3" t="s">
        <v>106</v>
      </c>
      <c r="CQ1" s="3" t="s">
        <v>107</v>
      </c>
      <c r="CR1" s="3" t="s">
        <v>108</v>
      </c>
      <c r="CS1" s="3" t="s">
        <v>109</v>
      </c>
      <c r="CT1" s="3" t="s">
        <v>110</v>
      </c>
      <c r="CU1" s="3" t="s">
        <v>111</v>
      </c>
      <c r="CV1" s="3" t="s">
        <v>112</v>
      </c>
      <c r="CW1" s="3" t="s">
        <v>113</v>
      </c>
      <c r="CX1" s="3" t="s">
        <v>114</v>
      </c>
      <c r="CY1" s="3" t="s">
        <v>115</v>
      </c>
      <c r="CZ1" s="3" t="s">
        <v>116</v>
      </c>
      <c r="DA1" s="3" t="s">
        <v>117</v>
      </c>
      <c r="DB1" s="3" t="s">
        <v>118</v>
      </c>
      <c r="DC1" s="3" t="s">
        <v>119</v>
      </c>
      <c r="DD1" s="3" t="s">
        <v>120</v>
      </c>
      <c r="DE1" s="3" t="s">
        <v>121</v>
      </c>
      <c r="DF1" s="3" t="s">
        <v>122</v>
      </c>
      <c r="DG1" s="3" t="s">
        <v>123</v>
      </c>
      <c r="DH1" s="3" t="s">
        <v>124</v>
      </c>
      <c r="DI1" s="3" t="s">
        <v>125</v>
      </c>
      <c r="DJ1" s="3" t="s">
        <v>126</v>
      </c>
      <c r="DK1" s="3" t="s">
        <v>127</v>
      </c>
      <c r="DL1" s="3" t="s">
        <v>128</v>
      </c>
      <c r="DM1" s="3" t="s">
        <v>129</v>
      </c>
      <c r="DN1" s="3" t="s">
        <v>130</v>
      </c>
      <c r="DO1" s="3" t="s">
        <v>131</v>
      </c>
      <c r="DP1" s="3" t="s">
        <v>132</v>
      </c>
      <c r="DQ1" s="3" t="s">
        <v>133</v>
      </c>
      <c r="DR1" s="3" t="s">
        <v>134</v>
      </c>
      <c r="DS1" s="3" t="s">
        <v>135</v>
      </c>
      <c r="DT1" s="3" t="s">
        <v>136</v>
      </c>
      <c r="DU1" s="3" t="s">
        <v>137</v>
      </c>
      <c r="DV1" s="3" t="s">
        <v>138</v>
      </c>
      <c r="DW1" s="3" t="s">
        <v>139</v>
      </c>
      <c r="DX1" s="3" t="s">
        <v>140</v>
      </c>
      <c r="DY1" s="3" t="s">
        <v>141</v>
      </c>
      <c r="DZ1" s="3" t="s">
        <v>142</v>
      </c>
      <c r="EA1" s="3" t="s">
        <v>143</v>
      </c>
      <c r="EB1" s="3" t="s">
        <v>144</v>
      </c>
      <c r="EC1" s="3" t="s">
        <v>145</v>
      </c>
      <c r="ED1" s="3" t="s">
        <v>146</v>
      </c>
      <c r="EE1" s="3" t="s">
        <v>147</v>
      </c>
      <c r="EF1" s="3" t="s">
        <v>148</v>
      </c>
      <c r="EG1" s="3" t="s">
        <v>149</v>
      </c>
      <c r="EH1" s="3" t="s">
        <v>150</v>
      </c>
      <c r="EI1" s="3" t="s">
        <v>151</v>
      </c>
      <c r="EJ1" s="3" t="s">
        <v>152</v>
      </c>
      <c r="EK1" s="3" t="s">
        <v>153</v>
      </c>
      <c r="EL1" s="3" t="s">
        <v>154</v>
      </c>
      <c r="EM1" s="3" t="s">
        <v>155</v>
      </c>
      <c r="EN1" s="3" t="s">
        <v>156</v>
      </c>
      <c r="EO1" s="3" t="s">
        <v>157</v>
      </c>
      <c r="EP1" s="3" t="s">
        <v>158</v>
      </c>
      <c r="EQ1" s="3" t="s">
        <v>159</v>
      </c>
      <c r="ER1" s="3" t="s">
        <v>160</v>
      </c>
      <c r="ES1" s="3" t="s">
        <v>161</v>
      </c>
      <c r="ET1" s="3" t="s">
        <v>162</v>
      </c>
      <c r="EU1" s="3" t="s">
        <v>163</v>
      </c>
      <c r="EV1" s="3" t="s">
        <v>164</v>
      </c>
      <c r="EW1" s="3" t="s">
        <v>165</v>
      </c>
      <c r="EX1" s="3" t="s">
        <v>166</v>
      </c>
      <c r="EY1" s="3" t="s">
        <v>167</v>
      </c>
      <c r="EZ1" s="3" t="s">
        <v>168</v>
      </c>
      <c r="FA1" s="3" t="s">
        <v>169</v>
      </c>
      <c r="FB1" s="3" t="s">
        <v>170</v>
      </c>
      <c r="FC1" s="3" t="s">
        <v>171</v>
      </c>
      <c r="FD1" s="3" t="s">
        <v>172</v>
      </c>
      <c r="FE1" s="3" t="s">
        <v>173</v>
      </c>
      <c r="FF1" s="3" t="s">
        <v>174</v>
      </c>
      <c r="FG1" s="3" t="s">
        <v>175</v>
      </c>
      <c r="FH1" s="3" t="s">
        <v>176</v>
      </c>
      <c r="FI1" s="3" t="s">
        <v>177</v>
      </c>
      <c r="FJ1" s="3" t="s">
        <v>178</v>
      </c>
      <c r="FK1" s="3" t="s">
        <v>179</v>
      </c>
      <c r="FL1" s="3" t="s">
        <v>180</v>
      </c>
      <c r="FM1" s="3" t="s">
        <v>181</v>
      </c>
      <c r="FN1" s="3" t="s">
        <v>182</v>
      </c>
      <c r="FO1" s="3" t="s">
        <v>183</v>
      </c>
      <c r="FP1" s="3" t="s">
        <v>184</v>
      </c>
      <c r="FQ1" s="3" t="s">
        <v>185</v>
      </c>
      <c r="FR1" s="3" t="s">
        <v>186</v>
      </c>
      <c r="FS1" s="3" t="s">
        <v>187</v>
      </c>
      <c r="FT1" s="3" t="s">
        <v>188</v>
      </c>
      <c r="FU1" s="3" t="s">
        <v>189</v>
      </c>
      <c r="FV1" s="3" t="s">
        <v>190</v>
      </c>
      <c r="FW1" s="3" t="s">
        <v>191</v>
      </c>
      <c r="FX1" s="3" t="s">
        <v>192</v>
      </c>
      <c r="FY1" s="3" t="s">
        <v>193</v>
      </c>
      <c r="FZ1" s="3" t="s">
        <v>194</v>
      </c>
      <c r="GA1" s="3" t="s">
        <v>195</v>
      </c>
      <c r="GB1" s="3" t="s">
        <v>196</v>
      </c>
      <c r="GC1" s="3" t="s">
        <v>197</v>
      </c>
      <c r="GD1" s="3" t="s">
        <v>198</v>
      </c>
      <c r="GE1" s="3" t="s">
        <v>199</v>
      </c>
      <c r="GF1" s="3" t="s">
        <v>200</v>
      </c>
      <c r="GG1" s="3" t="s">
        <v>201</v>
      </c>
      <c r="GH1" s="3" t="s">
        <v>202</v>
      </c>
      <c r="GI1" s="3" t="s">
        <v>203</v>
      </c>
      <c r="GJ1" s="3" t="s">
        <v>204</v>
      </c>
      <c r="GK1" s="3" t="s">
        <v>205</v>
      </c>
      <c r="GL1" s="3" t="s">
        <v>206</v>
      </c>
      <c r="GM1" s="3" t="s">
        <v>207</v>
      </c>
      <c r="GN1" s="3" t="s">
        <v>208</v>
      </c>
      <c r="GO1" s="3" t="s">
        <v>209</v>
      </c>
      <c r="GP1" s="3" t="s">
        <v>210</v>
      </c>
      <c r="GQ1" s="3" t="s">
        <v>211</v>
      </c>
      <c r="GR1" s="3" t="s">
        <v>212</v>
      </c>
      <c r="GS1" s="3" t="s">
        <v>213</v>
      </c>
      <c r="GT1" s="3" t="s">
        <v>214</v>
      </c>
      <c r="GU1" s="3" t="s">
        <v>215</v>
      </c>
      <c r="GV1" s="3" t="s">
        <v>216</v>
      </c>
      <c r="GW1" s="3" t="s">
        <v>217</v>
      </c>
      <c r="GX1" s="3" t="s">
        <v>218</v>
      </c>
      <c r="GY1" s="3" t="s">
        <v>219</v>
      </c>
      <c r="GZ1" s="3" t="s">
        <v>220</v>
      </c>
      <c r="HA1" s="3" t="s">
        <v>221</v>
      </c>
      <c r="HB1" s="3" t="s">
        <v>222</v>
      </c>
      <c r="HC1" s="3" t="s">
        <v>223</v>
      </c>
      <c r="HD1" s="3" t="s">
        <v>224</v>
      </c>
      <c r="HE1" s="3" t="s">
        <v>225</v>
      </c>
      <c r="HF1" s="3" t="s">
        <v>226</v>
      </c>
      <c r="HG1" s="3" t="s">
        <v>227</v>
      </c>
      <c r="HH1" s="3" t="s">
        <v>228</v>
      </c>
      <c r="HI1" s="3" t="s">
        <v>229</v>
      </c>
      <c r="HJ1" s="3" t="s">
        <v>230</v>
      </c>
      <c r="HK1" s="3" t="s">
        <v>231</v>
      </c>
      <c r="HL1" s="3" t="s">
        <v>232</v>
      </c>
      <c r="HM1" s="3" t="s">
        <v>233</v>
      </c>
      <c r="HN1" s="3" t="s">
        <v>234</v>
      </c>
      <c r="HO1" s="3" t="s">
        <v>235</v>
      </c>
      <c r="HP1" s="3" t="s">
        <v>236</v>
      </c>
      <c r="HQ1" s="3" t="s">
        <v>237</v>
      </c>
      <c r="HR1" s="3" t="s">
        <v>238</v>
      </c>
      <c r="HS1" s="3" t="s">
        <v>239</v>
      </c>
      <c r="HT1" s="3" t="s">
        <v>240</v>
      </c>
      <c r="HU1" s="3" t="s">
        <v>241</v>
      </c>
      <c r="HV1" s="3" t="s">
        <v>242</v>
      </c>
      <c r="HW1" s="3" t="s">
        <v>243</v>
      </c>
      <c r="HX1" s="3" t="s">
        <v>244</v>
      </c>
      <c r="HY1" s="3" t="s">
        <v>245</v>
      </c>
      <c r="HZ1" s="3" t="s">
        <v>246</v>
      </c>
      <c r="IA1" s="3" t="s">
        <v>247</v>
      </c>
      <c r="IB1" s="3" t="s">
        <v>248</v>
      </c>
      <c r="IC1" s="3" t="s">
        <v>249</v>
      </c>
      <c r="ID1" s="3" t="s">
        <v>250</v>
      </c>
      <c r="IE1" s="3" t="s">
        <v>251</v>
      </c>
      <c r="IF1" s="3" t="s">
        <v>252</v>
      </c>
      <c r="IG1" s="3" t="s">
        <v>253</v>
      </c>
      <c r="IH1" s="3" t="s">
        <v>254</v>
      </c>
      <c r="II1" s="3" t="s">
        <v>255</v>
      </c>
      <c r="IJ1" s="3" t="s">
        <v>256</v>
      </c>
      <c r="IK1" s="3" t="s">
        <v>257</v>
      </c>
      <c r="IL1" s="3" t="s">
        <v>258</v>
      </c>
      <c r="IM1" s="3" t="s">
        <v>259</v>
      </c>
      <c r="IN1" s="3" t="s">
        <v>260</v>
      </c>
      <c r="IO1" s="3" t="s">
        <v>261</v>
      </c>
      <c r="IP1" s="3" t="s">
        <v>262</v>
      </c>
      <c r="IQ1" s="3" t="s">
        <v>263</v>
      </c>
      <c r="IR1" s="3" t="s">
        <v>264</v>
      </c>
      <c r="IS1" s="3" t="s">
        <v>265</v>
      </c>
      <c r="IT1" s="3" t="s">
        <v>266</v>
      </c>
      <c r="IU1" s="3" t="s">
        <v>267</v>
      </c>
      <c r="IV1" s="3" t="s">
        <v>268</v>
      </c>
      <c r="IW1" s="3" t="s">
        <v>269</v>
      </c>
      <c r="IX1" s="3" t="s">
        <v>270</v>
      </c>
      <c r="IY1" s="3" t="s">
        <v>271</v>
      </c>
      <c r="IZ1" s="3" t="s">
        <v>272</v>
      </c>
      <c r="JA1" s="3" t="s">
        <v>273</v>
      </c>
      <c r="JB1" s="3" t="s">
        <v>274</v>
      </c>
      <c r="JC1" s="3" t="s">
        <v>275</v>
      </c>
      <c r="JD1" s="3" t="s">
        <v>276</v>
      </c>
      <c r="JE1" s="3" t="s">
        <v>277</v>
      </c>
      <c r="JF1" s="3" t="s">
        <v>278</v>
      </c>
      <c r="JG1" s="3" t="s">
        <v>279</v>
      </c>
      <c r="JH1" s="3" t="s">
        <v>280</v>
      </c>
      <c r="JI1" s="3" t="s">
        <v>281</v>
      </c>
      <c r="JJ1" s="3" t="s">
        <v>282</v>
      </c>
      <c r="JK1" s="3" t="s">
        <v>283</v>
      </c>
      <c r="JL1" s="3" t="s">
        <v>284</v>
      </c>
      <c r="JM1" s="3" t="s">
        <v>285</v>
      </c>
      <c r="JN1" s="3" t="s">
        <v>286</v>
      </c>
      <c r="JO1" s="3" t="s">
        <v>287</v>
      </c>
      <c r="JP1" s="3" t="s">
        <v>288</v>
      </c>
      <c r="JQ1" s="3" t="s">
        <v>289</v>
      </c>
      <c r="JR1" s="3" t="s">
        <v>290</v>
      </c>
      <c r="JS1" s="3" t="s">
        <v>291</v>
      </c>
      <c r="JT1" s="3" t="s">
        <v>292</v>
      </c>
      <c r="JU1" s="3" t="s">
        <v>293</v>
      </c>
      <c r="JV1" s="3" t="s">
        <v>294</v>
      </c>
      <c r="JW1" s="3" t="s">
        <v>295</v>
      </c>
      <c r="JX1" s="3" t="s">
        <v>296</v>
      </c>
      <c r="JY1" s="3" t="s">
        <v>297</v>
      </c>
      <c r="JZ1" s="3" t="s">
        <v>298</v>
      </c>
      <c r="KA1" s="3" t="s">
        <v>299</v>
      </c>
      <c r="KB1" s="3" t="s">
        <v>300</v>
      </c>
      <c r="KC1" s="3" t="s">
        <v>301</v>
      </c>
      <c r="KD1" s="3" t="s">
        <v>302</v>
      </c>
      <c r="KE1" s="3" t="s">
        <v>303</v>
      </c>
      <c r="KF1" s="3" t="s">
        <v>304</v>
      </c>
      <c r="KG1" s="3" t="s">
        <v>305</v>
      </c>
      <c r="KH1" s="3" t="s">
        <v>306</v>
      </c>
      <c r="KI1" s="3" t="s">
        <v>307</v>
      </c>
      <c r="KJ1" s="3" t="s">
        <v>308</v>
      </c>
      <c r="KK1" s="3" t="s">
        <v>309</v>
      </c>
      <c r="KL1" s="3" t="s">
        <v>310</v>
      </c>
      <c r="KM1" s="3" t="s">
        <v>311</v>
      </c>
      <c r="KN1" s="3" t="s">
        <v>312</v>
      </c>
      <c r="KO1" s="3" t="s">
        <v>313</v>
      </c>
      <c r="KP1" s="3" t="s">
        <v>314</v>
      </c>
      <c r="KQ1" s="3" t="s">
        <v>315</v>
      </c>
      <c r="KR1" s="3" t="s">
        <v>316</v>
      </c>
      <c r="KS1" s="3" t="s">
        <v>317</v>
      </c>
      <c r="KT1" s="3" t="s">
        <v>318</v>
      </c>
      <c r="KU1" s="3" t="s">
        <v>319</v>
      </c>
      <c r="KV1" s="3" t="s">
        <v>320</v>
      </c>
      <c r="KW1" s="3" t="s">
        <v>321</v>
      </c>
      <c r="KX1" s="3" t="s">
        <v>322</v>
      </c>
      <c r="KY1" s="3" t="s">
        <v>323</v>
      </c>
      <c r="KZ1" s="3" t="s">
        <v>324</v>
      </c>
      <c r="LA1" s="3" t="s">
        <v>325</v>
      </c>
      <c r="LB1" s="3" t="s">
        <v>326</v>
      </c>
      <c r="LC1" s="3" t="s">
        <v>327</v>
      </c>
      <c r="LD1" s="3" t="s">
        <v>328</v>
      </c>
      <c r="LE1" s="3" t="s">
        <v>329</v>
      </c>
      <c r="LF1" s="3" t="s">
        <v>330</v>
      </c>
      <c r="LG1" s="3" t="s">
        <v>331</v>
      </c>
      <c r="LH1" s="3" t="s">
        <v>332</v>
      </c>
      <c r="LI1" s="3" t="s">
        <v>333</v>
      </c>
      <c r="LJ1" s="3" t="s">
        <v>334</v>
      </c>
      <c r="LK1" s="3" t="s">
        <v>335</v>
      </c>
      <c r="LL1" s="3" t="s">
        <v>336</v>
      </c>
      <c r="LM1" s="3" t="s">
        <v>337</v>
      </c>
      <c r="LN1" s="3" t="s">
        <v>338</v>
      </c>
      <c r="LO1" s="3" t="s">
        <v>339</v>
      </c>
      <c r="LP1" s="3" t="s">
        <v>340</v>
      </c>
      <c r="LQ1" s="3" t="s">
        <v>341</v>
      </c>
      <c r="LR1" s="3" t="s">
        <v>342</v>
      </c>
      <c r="LS1" s="3" t="s">
        <v>343</v>
      </c>
      <c r="LT1" s="3" t="s">
        <v>344</v>
      </c>
      <c r="LU1" s="3" t="s">
        <v>345</v>
      </c>
      <c r="LV1" s="3" t="s">
        <v>346</v>
      </c>
      <c r="LW1" s="3" t="s">
        <v>347</v>
      </c>
      <c r="LX1" s="3" t="s">
        <v>348</v>
      </c>
    </row>
    <row r="2" customFormat="false" ht="15" hidden="false" customHeight="false" outlineLevel="0" collapsed="false">
      <c r="A2" s="3" t="s">
        <v>14</v>
      </c>
      <c r="Q2" s="4" t="n">
        <v>515.9</v>
      </c>
      <c r="R2" s="4" t="n">
        <v>6</v>
      </c>
      <c r="S2" s="4" t="n">
        <v>74.5</v>
      </c>
      <c r="T2" s="4" t="n">
        <v>94.2</v>
      </c>
      <c r="U2" s="4" t="n">
        <v>324.6</v>
      </c>
      <c r="V2" s="4" t="n">
        <v>363.4</v>
      </c>
      <c r="W2" s="4" t="n">
        <v>3.1</v>
      </c>
      <c r="X2" s="4" t="n">
        <v>5.3</v>
      </c>
      <c r="Y2" s="4" t="n">
        <v>11</v>
      </c>
      <c r="Z2" s="4" t="n">
        <v>7.6</v>
      </c>
      <c r="AA2" s="4" t="n">
        <v>3.2</v>
      </c>
      <c r="AC2" s="4" t="n">
        <v>36.2</v>
      </c>
      <c r="AD2" s="4" t="n">
        <v>110.5</v>
      </c>
      <c r="AE2" s="4" t="n">
        <v>93.1</v>
      </c>
      <c r="AF2" s="4" t="n">
        <v>220.7</v>
      </c>
      <c r="AG2" s="4" t="n">
        <v>1015.1</v>
      </c>
      <c r="AH2" s="4" t="n">
        <v>1993.1</v>
      </c>
      <c r="AI2" s="4" t="n">
        <v>23.2</v>
      </c>
      <c r="AJ2" s="4" t="n">
        <v>1219.9</v>
      </c>
      <c r="AK2" s="4" t="n">
        <v>31.9</v>
      </c>
      <c r="AL2" s="4" t="n">
        <v>3641.5</v>
      </c>
      <c r="AM2" s="4" t="n">
        <v>15994.7</v>
      </c>
      <c r="AN2" s="4" t="n">
        <v>3391.7</v>
      </c>
      <c r="AO2" s="4" t="n">
        <v>40273.4</v>
      </c>
      <c r="AP2" s="4" t="n">
        <v>1731.3</v>
      </c>
      <c r="AQ2" s="4" t="n">
        <v>78.9</v>
      </c>
      <c r="AR2" s="4" t="n">
        <v>511.2</v>
      </c>
      <c r="AS2" s="4" t="n">
        <v>211.5</v>
      </c>
      <c r="AT2" s="4" t="n">
        <v>78.7</v>
      </c>
      <c r="AU2" s="4" t="n">
        <v>1185.2</v>
      </c>
      <c r="AV2" s="4" t="n">
        <v>146.4</v>
      </c>
      <c r="AW2" s="4" t="n">
        <v>480.5</v>
      </c>
      <c r="AY2" s="4" t="n">
        <v>4.9</v>
      </c>
      <c r="AZ2" s="4" t="n">
        <v>8</v>
      </c>
      <c r="BC2" s="4" t="n">
        <v>2.8</v>
      </c>
      <c r="BD2" s="4" t="n">
        <v>58.3</v>
      </c>
      <c r="BE2" s="4" t="n">
        <v>281163.2</v>
      </c>
      <c r="BF2" s="4" t="n">
        <v>33370</v>
      </c>
      <c r="BG2" s="4" t="n">
        <v>4185</v>
      </c>
      <c r="BH2" s="4" t="n">
        <v>88.9</v>
      </c>
      <c r="BI2" s="4" t="n">
        <v>10787.6</v>
      </c>
      <c r="BJ2" s="4" t="n">
        <v>1735.3</v>
      </c>
      <c r="BK2" s="4" t="n">
        <v>259.8</v>
      </c>
      <c r="BL2" s="4" t="n">
        <v>203.8</v>
      </c>
      <c r="BN2" s="4" t="n">
        <v>615.4</v>
      </c>
      <c r="BO2" s="4" t="n">
        <v>3201.9</v>
      </c>
      <c r="BP2" s="4" t="n">
        <v>3324.8</v>
      </c>
      <c r="BQ2" s="4" t="n">
        <v>958.1</v>
      </c>
      <c r="BR2" s="4" t="n">
        <v>9870.5</v>
      </c>
      <c r="BS2" s="4" t="n">
        <v>1745.3</v>
      </c>
      <c r="BT2" s="4" t="n">
        <v>6775.5</v>
      </c>
      <c r="BU2" s="4" t="n">
        <v>152.9</v>
      </c>
      <c r="BV2" s="4" t="n">
        <v>3663.5</v>
      </c>
      <c r="BW2" s="4" t="n">
        <v>180.8</v>
      </c>
      <c r="BX2" s="4" t="n">
        <v>2628.5</v>
      </c>
      <c r="BY2" s="4" t="n">
        <v>1679.4</v>
      </c>
      <c r="BZ2" s="4" t="n">
        <v>1485.6</v>
      </c>
      <c r="CA2" s="4" t="n">
        <v>867.2</v>
      </c>
      <c r="CB2" s="4" t="n">
        <v>1565.5</v>
      </c>
      <c r="CC2" s="4" t="n">
        <v>733.3</v>
      </c>
      <c r="CD2" s="4" t="n">
        <v>12180.3</v>
      </c>
      <c r="CE2" s="4" t="n">
        <v>178.8</v>
      </c>
      <c r="CF2" s="4" t="n">
        <v>1347.7</v>
      </c>
      <c r="CG2" s="4" t="n">
        <v>163.8</v>
      </c>
      <c r="CH2" s="4" t="n">
        <v>2127</v>
      </c>
      <c r="CI2" s="4" t="n">
        <v>24193.8</v>
      </c>
      <c r="CJ2" s="4" t="n">
        <v>11463</v>
      </c>
      <c r="CK2" s="4" t="n">
        <v>70784.1</v>
      </c>
      <c r="CL2" s="4" t="n">
        <v>113523.1</v>
      </c>
      <c r="CM2" s="4" t="n">
        <v>6154.1</v>
      </c>
      <c r="CN2" s="4" t="n">
        <v>7341</v>
      </c>
      <c r="CO2" s="4" t="n">
        <v>10374</v>
      </c>
      <c r="CP2" s="4" t="n">
        <v>56719.6</v>
      </c>
      <c r="CQ2" s="4" t="n">
        <v>52021.1</v>
      </c>
      <c r="CR2" s="4" t="n">
        <v>71044.8</v>
      </c>
      <c r="CS2" s="4" t="n">
        <v>1275.8</v>
      </c>
      <c r="CT2" s="4" t="n">
        <v>67197.5</v>
      </c>
      <c r="CU2" s="4" t="n">
        <v>1061</v>
      </c>
      <c r="CV2" s="4" t="n">
        <v>285.7</v>
      </c>
      <c r="CW2" s="4" t="n">
        <v>416017.8</v>
      </c>
      <c r="CX2" s="4" t="n">
        <v>310989.6</v>
      </c>
      <c r="CY2" s="4" t="n">
        <v>120953</v>
      </c>
      <c r="CZ2" s="4" t="n">
        <v>138498.1</v>
      </c>
      <c r="LX2" s="5" t="n">
        <f aca="false">SUM(B2:LW2)</f>
        <v>1941088</v>
      </c>
    </row>
    <row r="3" customFormat="false" ht="15" hidden="false" customHeight="false" outlineLevel="0" collapsed="false">
      <c r="A3" s="3" t="s">
        <v>15</v>
      </c>
      <c r="Q3" s="4" t="n">
        <v>188891.2</v>
      </c>
      <c r="R3" s="4" t="n">
        <v>2204.7</v>
      </c>
      <c r="S3" s="4" t="n">
        <v>20915.3</v>
      </c>
      <c r="T3" s="4" t="n">
        <v>26415.7</v>
      </c>
      <c r="U3" s="4" t="n">
        <v>210442.2</v>
      </c>
      <c r="V3" s="4" t="n">
        <v>225579.7</v>
      </c>
      <c r="W3" s="4" t="n">
        <v>1344</v>
      </c>
      <c r="X3" s="4" t="n">
        <v>2975.5</v>
      </c>
      <c r="Y3" s="4" t="n">
        <v>1292.1</v>
      </c>
      <c r="Z3" s="4" t="n">
        <v>7279.5</v>
      </c>
      <c r="AA3" s="4" t="n">
        <v>110171.1</v>
      </c>
      <c r="AB3" s="4" t="n">
        <v>6766.7</v>
      </c>
      <c r="AC3" s="4" t="n">
        <v>6820</v>
      </c>
      <c r="AD3" s="4" t="n">
        <v>27297.6</v>
      </c>
      <c r="AE3" s="4" t="n">
        <v>36598.1</v>
      </c>
      <c r="AF3" s="4" t="n">
        <v>2100.2</v>
      </c>
      <c r="AG3" s="4" t="n">
        <v>9659.9</v>
      </c>
      <c r="AH3" s="4" t="n">
        <v>2245.3</v>
      </c>
      <c r="AI3" s="4" t="n">
        <v>12046.8</v>
      </c>
      <c r="AJ3" s="4" t="n">
        <v>41835.1</v>
      </c>
      <c r="AK3" s="4" t="n">
        <v>3893.3</v>
      </c>
      <c r="AL3" s="4" t="n">
        <v>87828</v>
      </c>
      <c r="AN3" s="4" t="n">
        <v>56821</v>
      </c>
      <c r="AP3" s="4" t="n">
        <v>217.3</v>
      </c>
      <c r="AQ3" s="4" t="n">
        <v>122.9</v>
      </c>
      <c r="AR3" s="4" t="n">
        <v>1.7</v>
      </c>
      <c r="AS3" s="4" t="n">
        <v>0.7</v>
      </c>
      <c r="AU3" s="4" t="n">
        <v>9.8</v>
      </c>
      <c r="AW3" s="4" t="n">
        <v>83.4</v>
      </c>
      <c r="AX3" s="4" t="n">
        <v>1579.4</v>
      </c>
      <c r="AY3" s="4" t="n">
        <v>79.5</v>
      </c>
      <c r="BC3" s="4" t="n">
        <v>1752.4</v>
      </c>
      <c r="BD3" s="4" t="n">
        <v>216.8</v>
      </c>
      <c r="LX3" s="5" t="n">
        <f aca="false">SUM(B3:LW3)</f>
        <v>1095486.9</v>
      </c>
    </row>
    <row r="4" customFormat="false" ht="15" hidden="false" customHeight="false" outlineLevel="0" collapsed="false">
      <c r="A4" s="3" t="s">
        <v>16</v>
      </c>
      <c r="Q4" s="4" t="n">
        <v>2514.7</v>
      </c>
      <c r="R4" s="4" t="n">
        <v>30</v>
      </c>
      <c r="S4" s="4" t="n">
        <v>307</v>
      </c>
      <c r="T4" s="4" t="n">
        <v>382</v>
      </c>
      <c r="U4" s="4" t="n">
        <v>5794.5</v>
      </c>
      <c r="V4" s="4" t="n">
        <v>5079.6</v>
      </c>
      <c r="W4" s="4" t="n">
        <v>27.4</v>
      </c>
      <c r="X4" s="4" t="n">
        <v>13.4</v>
      </c>
      <c r="Y4" s="4" t="n">
        <v>5.8</v>
      </c>
      <c r="Z4" s="4" t="n">
        <v>32.7</v>
      </c>
      <c r="AA4" s="4" t="n">
        <v>130.7</v>
      </c>
      <c r="AB4" s="4" t="n">
        <v>8</v>
      </c>
      <c r="AC4" s="4" t="n">
        <v>262</v>
      </c>
      <c r="AD4" s="4" t="n">
        <v>2143.1</v>
      </c>
      <c r="AE4" s="4" t="n">
        <v>1004.2</v>
      </c>
      <c r="AF4" s="4" t="n">
        <v>18905.3</v>
      </c>
      <c r="AG4" s="4" t="n">
        <v>86940.1</v>
      </c>
      <c r="AH4" s="4" t="n">
        <v>20733.9</v>
      </c>
      <c r="AI4" s="4" t="n">
        <v>12449.6</v>
      </c>
      <c r="AJ4" s="4" t="n">
        <v>848.4</v>
      </c>
      <c r="AK4" s="4" t="n">
        <v>4.6</v>
      </c>
      <c r="AL4" s="4" t="n">
        <v>1973.9</v>
      </c>
      <c r="AM4" s="4" t="n">
        <v>61252</v>
      </c>
      <c r="AN4" s="4" t="n">
        <v>1559.1</v>
      </c>
      <c r="AO4" s="4" t="n">
        <v>-13436.7</v>
      </c>
      <c r="AP4" s="4" t="n">
        <v>103292.7</v>
      </c>
      <c r="AQ4" s="4" t="n">
        <v>66957.6</v>
      </c>
      <c r="AR4" s="4" t="n">
        <v>906.2</v>
      </c>
      <c r="AS4" s="4" t="n">
        <v>357.4</v>
      </c>
      <c r="AT4" s="4" t="n">
        <v>133.5</v>
      </c>
      <c r="AU4" s="4" t="n">
        <v>4660.7</v>
      </c>
      <c r="AV4" s="4" t="n">
        <v>224</v>
      </c>
      <c r="AW4" s="4" t="n">
        <v>106432.8</v>
      </c>
      <c r="AX4" s="4" t="n">
        <v>61595.7</v>
      </c>
      <c r="AY4" s="4" t="n">
        <v>3099.6</v>
      </c>
      <c r="AZ4" s="4" t="n">
        <v>1555.5</v>
      </c>
      <c r="BA4" s="4" t="n">
        <v>514.6</v>
      </c>
      <c r="BB4" s="4" t="n">
        <v>30301.2</v>
      </c>
      <c r="BC4" s="4" t="n">
        <v>68342.4</v>
      </c>
      <c r="BD4" s="4" t="n">
        <v>8456.6</v>
      </c>
      <c r="BE4" s="4" t="n">
        <v>543318.7</v>
      </c>
      <c r="BF4" s="4" t="n">
        <v>101431</v>
      </c>
      <c r="BG4" s="4" t="n">
        <v>123652.9</v>
      </c>
      <c r="BH4" s="4" t="n">
        <v>381.6</v>
      </c>
      <c r="BI4" s="4" t="n">
        <v>31156.5</v>
      </c>
      <c r="BJ4" s="4" t="n">
        <v>59960.2</v>
      </c>
      <c r="BK4" s="4" t="n">
        <v>127568.2</v>
      </c>
      <c r="BL4" s="4" t="n">
        <v>38258.8</v>
      </c>
      <c r="BM4" s="4" t="n">
        <v>40</v>
      </c>
      <c r="BN4" s="4" t="n">
        <v>5789.5</v>
      </c>
      <c r="BO4" s="4" t="n">
        <v>31487.2</v>
      </c>
      <c r="BP4" s="4" t="n">
        <v>5056.2</v>
      </c>
      <c r="BQ4" s="4" t="n">
        <v>5990.3</v>
      </c>
      <c r="BR4" s="4" t="n">
        <v>109042.8</v>
      </c>
      <c r="BS4" s="4" t="n">
        <v>1608.5</v>
      </c>
      <c r="BT4" s="4" t="n">
        <v>92815.1</v>
      </c>
      <c r="BU4" s="4" t="n">
        <v>4536.7</v>
      </c>
      <c r="BV4" s="4" t="n">
        <v>20480.6</v>
      </c>
      <c r="BW4" s="4" t="n">
        <v>137.9</v>
      </c>
      <c r="BX4" s="4" t="n">
        <v>8888.6</v>
      </c>
      <c r="BY4" s="4" t="n">
        <v>2575.6</v>
      </c>
      <c r="BZ4" s="4" t="n">
        <v>1367.7</v>
      </c>
      <c r="CA4" s="4" t="n">
        <v>30318.3</v>
      </c>
      <c r="CB4" s="4" t="n">
        <v>-1244.2</v>
      </c>
      <c r="CC4" s="4" t="n">
        <v>47929.6</v>
      </c>
      <c r="CD4" s="4" t="n">
        <v>36230.7</v>
      </c>
      <c r="CE4" s="4" t="n">
        <v>-99.1</v>
      </c>
      <c r="CF4" s="4" t="n">
        <v>23909.4</v>
      </c>
      <c r="CG4" s="4" t="n">
        <v>253.8</v>
      </c>
      <c r="CH4" s="4" t="n">
        <v>1601.5</v>
      </c>
      <c r="CI4" s="4" t="n">
        <v>50990.7</v>
      </c>
      <c r="CJ4" s="4" t="n">
        <v>6441.9</v>
      </c>
      <c r="CK4" s="4" t="n">
        <v>6441.9</v>
      </c>
      <c r="LX4" s="5" t="n">
        <f aca="false">SUM(B4:LW4)</f>
        <v>2184114.9</v>
      </c>
    </row>
    <row r="5" customFormat="false" ht="15" hidden="false" customHeight="false" outlineLevel="0" collapsed="false">
      <c r="A5" s="3" t="s">
        <v>17</v>
      </c>
      <c r="CK5" s="4" t="n">
        <v>220142</v>
      </c>
      <c r="CL5" s="4" t="n">
        <v>605875.9</v>
      </c>
      <c r="CM5" s="4" t="n">
        <v>50593.6</v>
      </c>
      <c r="CN5" s="4" t="n">
        <v>4250.7</v>
      </c>
      <c r="CO5" s="4" t="n">
        <v>169214.5</v>
      </c>
      <c r="CP5" s="4" t="n">
        <v>53122.6</v>
      </c>
      <c r="CQ5" s="4" t="n">
        <v>173850.6</v>
      </c>
      <c r="CR5" s="4" t="n">
        <v>80871.5</v>
      </c>
      <c r="CS5" s="4" t="n">
        <v>478204.3</v>
      </c>
      <c r="CT5" s="4" t="n">
        <v>35408.6</v>
      </c>
      <c r="CU5" s="4" t="n">
        <v>3710.5</v>
      </c>
      <c r="CV5" s="4" t="n">
        <v>3969.5</v>
      </c>
      <c r="CW5" s="4" t="n">
        <v>424216.8</v>
      </c>
      <c r="CX5" s="4" t="n">
        <v>88381.5</v>
      </c>
      <c r="CY5" s="4" t="n">
        <v>18037.6</v>
      </c>
      <c r="CZ5" s="4" t="n">
        <v>224807.4</v>
      </c>
      <c r="LX5" s="5" t="n">
        <f aca="false">SUM(B5:LW5)</f>
        <v>2634657.6</v>
      </c>
    </row>
    <row r="6" customFormat="false" ht="15" hidden="false" customHeight="false" outlineLevel="0" collapsed="false">
      <c r="A6" s="3" t="s">
        <v>18</v>
      </c>
      <c r="B6" s="4" t="n">
        <v>371364.4</v>
      </c>
      <c r="C6" s="4" t="n">
        <v>209585.9</v>
      </c>
      <c r="D6" s="4" t="n">
        <v>417859.8</v>
      </c>
      <c r="E6" s="4" t="n">
        <v>497804.4</v>
      </c>
      <c r="G6" s="4" t="n">
        <v>19.2</v>
      </c>
      <c r="H6" s="4" t="n">
        <v>3397.2</v>
      </c>
      <c r="I6" s="4" t="n">
        <v>160.2</v>
      </c>
      <c r="J6" s="4" t="n">
        <v>23027.1</v>
      </c>
      <c r="K6" s="4" t="n">
        <v>14483.2</v>
      </c>
      <c r="L6" s="4" t="n">
        <v>64769.5</v>
      </c>
      <c r="P6" s="4" t="n">
        <v>60940.9</v>
      </c>
      <c r="LX6" s="5" t="n">
        <f aca="false">SUM(B6:LW6)</f>
        <v>1663411.8</v>
      </c>
    </row>
    <row r="7" customFormat="false" ht="15" hidden="false" customHeight="false" outlineLevel="0" collapsed="false">
      <c r="A7" s="3" t="s">
        <v>19</v>
      </c>
      <c r="B7" s="4" t="n">
        <v>27059.9</v>
      </c>
      <c r="C7" s="4" t="n">
        <v>15271.7</v>
      </c>
      <c r="D7" s="4" t="n">
        <v>30447.8</v>
      </c>
      <c r="E7" s="4" t="n">
        <v>36273.1</v>
      </c>
      <c r="F7" s="4" t="n">
        <v>4.4</v>
      </c>
      <c r="H7" s="4" t="n">
        <v>388.2</v>
      </c>
      <c r="I7" s="4" t="n">
        <v>18.3</v>
      </c>
      <c r="J7" s="4" t="n">
        <v>1677.9</v>
      </c>
      <c r="K7" s="4" t="n">
        <v>1055.3</v>
      </c>
      <c r="L7" s="4" t="n">
        <v>4719.5</v>
      </c>
      <c r="P7" s="4" t="n">
        <v>4440.5</v>
      </c>
      <c r="LX7" s="5" t="n">
        <f aca="false">SUM(B7:LW7)</f>
        <v>121356.6</v>
      </c>
    </row>
    <row r="8" customFormat="false" ht="15" hidden="false" customHeight="false" outlineLevel="0" collapsed="false">
      <c r="A8" s="3" t="s">
        <v>20</v>
      </c>
      <c r="B8" s="4" t="n">
        <v>676954.1</v>
      </c>
      <c r="C8" s="4" t="n">
        <v>382050.7</v>
      </c>
      <c r="D8" s="4" t="n">
        <v>761709.8</v>
      </c>
      <c r="E8" s="4" t="n">
        <v>907439.5</v>
      </c>
      <c r="F8" s="4" t="n">
        <v>89.9</v>
      </c>
      <c r="G8" s="4" t="n">
        <v>44.7</v>
      </c>
      <c r="I8" s="4" t="n">
        <v>374.2</v>
      </c>
      <c r="J8" s="4" t="n">
        <v>41975.7</v>
      </c>
      <c r="K8" s="4" t="n">
        <v>26401.2</v>
      </c>
      <c r="L8" s="4" t="n">
        <v>118067.2</v>
      </c>
      <c r="P8" s="4" t="n">
        <v>111088.1</v>
      </c>
      <c r="LX8" s="5" t="n">
        <f aca="false">SUM(B8:LW8)</f>
        <v>3026195.1</v>
      </c>
    </row>
    <row r="9" customFormat="false" ht="15" hidden="false" customHeight="false" outlineLevel="0" collapsed="false">
      <c r="A9" s="3" t="s">
        <v>21</v>
      </c>
      <c r="B9" s="4" t="n">
        <v>865709.7</v>
      </c>
      <c r="C9" s="4" t="n">
        <v>488578.2</v>
      </c>
      <c r="D9" s="4" t="n">
        <v>974097.9</v>
      </c>
      <c r="E9" s="4" t="n">
        <v>1160461.5</v>
      </c>
      <c r="F9" s="4" t="n">
        <v>65.9</v>
      </c>
      <c r="G9" s="4" t="n">
        <v>55.4</v>
      </c>
      <c r="H9" s="4" t="n">
        <v>6319.4</v>
      </c>
      <c r="J9" s="4" t="n">
        <v>53679.8</v>
      </c>
      <c r="K9" s="4" t="n">
        <v>33762.6</v>
      </c>
      <c r="L9" s="4" t="n">
        <v>150988</v>
      </c>
      <c r="P9" s="4" t="n">
        <v>142062.9</v>
      </c>
      <c r="LX9" s="5" t="n">
        <f aca="false">SUM(B9:LW9)</f>
        <v>3875781.3</v>
      </c>
    </row>
    <row r="10" customFormat="false" ht="15" hidden="false" customHeight="false" outlineLevel="0" collapsed="false">
      <c r="A10" s="3" t="s">
        <v>22</v>
      </c>
      <c r="E10" s="4" t="n">
        <v>1392806.2</v>
      </c>
      <c r="J10" s="4" t="n">
        <v>108001.5</v>
      </c>
      <c r="K10" s="4" t="n">
        <v>87181</v>
      </c>
      <c r="L10" s="4" t="n">
        <v>19870.3</v>
      </c>
      <c r="P10" s="4" t="n">
        <v>21611.4</v>
      </c>
      <c r="LX10" s="5" t="n">
        <f aca="false">SUM(B10:LW10)</f>
        <v>1629470.4</v>
      </c>
    </row>
    <row r="11" customFormat="false" ht="15" hidden="false" customHeight="false" outlineLevel="0" collapsed="false">
      <c r="A11" s="3" t="s">
        <v>23</v>
      </c>
      <c r="E11" s="4" t="n">
        <v>79239.3</v>
      </c>
      <c r="F11" s="4" t="n">
        <v>11639.8</v>
      </c>
      <c r="G11" s="4" t="n">
        <v>848.2</v>
      </c>
      <c r="H11" s="4" t="n">
        <v>21215.7</v>
      </c>
      <c r="I11" s="4" t="n">
        <v>27134</v>
      </c>
      <c r="J11" s="4" t="n">
        <v>208014.1</v>
      </c>
      <c r="K11" s="4" t="n">
        <v>78423.1</v>
      </c>
      <c r="L11" s="4" t="n">
        <v>120930.4</v>
      </c>
      <c r="P11" s="4" t="n">
        <v>60919.8</v>
      </c>
      <c r="LX11" s="5" t="n">
        <f aca="false">SUM(B11:LW11)</f>
        <v>608364.4</v>
      </c>
    </row>
    <row r="12" customFormat="false" ht="15" hidden="false" customHeight="false" outlineLevel="0" collapsed="false">
      <c r="A12" s="3" t="s">
        <v>24</v>
      </c>
      <c r="E12" s="4" t="n">
        <v>545562.5</v>
      </c>
      <c r="M12" s="4" t="n">
        <v>759544.8</v>
      </c>
      <c r="O12" s="4" t="n">
        <v>556912.9</v>
      </c>
      <c r="P12" s="4" t="n">
        <v>197503.7</v>
      </c>
      <c r="AM12" s="4" t="n">
        <v>-6577.9</v>
      </c>
      <c r="AW12" s="4" t="n">
        <v>6</v>
      </c>
      <c r="AZ12" s="4" t="n">
        <v>16</v>
      </c>
      <c r="BA12" s="4" t="n">
        <v>1</v>
      </c>
      <c r="BB12" s="4" t="n">
        <v>68.1</v>
      </c>
      <c r="BC12" s="4" t="n">
        <v>35</v>
      </c>
      <c r="BE12" s="4" t="n">
        <v>16139.1</v>
      </c>
      <c r="BF12" s="4" t="n">
        <v>2545.6</v>
      </c>
      <c r="BG12" s="4" t="n">
        <v>773.5</v>
      </c>
      <c r="BH12" s="4" t="n">
        <v>27</v>
      </c>
      <c r="BI12" s="4" t="n">
        <v>492.3</v>
      </c>
      <c r="BJ12" s="4" t="n">
        <v>1091.7</v>
      </c>
      <c r="BL12" s="4" t="n">
        <v>204.1</v>
      </c>
      <c r="BM12" s="4" t="n">
        <v>1</v>
      </c>
      <c r="BN12" s="4" t="n">
        <v>79</v>
      </c>
      <c r="BO12" s="4" t="n">
        <v>1884.2</v>
      </c>
      <c r="BP12" s="4" t="n">
        <v>48</v>
      </c>
      <c r="BQ12" s="4" t="n">
        <v>394.2</v>
      </c>
      <c r="BR12" s="4" t="n">
        <v>7432.7</v>
      </c>
      <c r="BS12" s="4" t="n">
        <v>92.1</v>
      </c>
      <c r="BT12" s="4" t="n">
        <v>684.4</v>
      </c>
      <c r="BU12" s="4" t="n">
        <v>32</v>
      </c>
      <c r="BV12" s="4" t="n">
        <v>526.3</v>
      </c>
      <c r="BW12" s="4" t="n">
        <v>5</v>
      </c>
      <c r="BX12" s="4" t="n">
        <v>72</v>
      </c>
      <c r="BZ12" s="4" t="n">
        <v>89.1</v>
      </c>
      <c r="CA12" s="4" t="n">
        <v>67</v>
      </c>
      <c r="CB12" s="4" t="n">
        <v>23</v>
      </c>
      <c r="CC12" s="4" t="n">
        <v>922.6</v>
      </c>
      <c r="CD12" s="4" t="n">
        <v>892.6</v>
      </c>
      <c r="CE12" s="4" t="n">
        <v>12</v>
      </c>
      <c r="CF12" s="4" t="n">
        <v>267.2</v>
      </c>
      <c r="CG12" s="4" t="n">
        <v>15</v>
      </c>
      <c r="CH12" s="4" t="n">
        <v>196.1</v>
      </c>
      <c r="CI12" s="4" t="n">
        <v>-20459.2</v>
      </c>
      <c r="CJ12" s="4" t="n">
        <v>218.1</v>
      </c>
      <c r="CK12" s="4" t="n">
        <v>3825.4</v>
      </c>
      <c r="CL12" s="4" t="n">
        <v>4724</v>
      </c>
      <c r="CM12" s="4" t="n">
        <v>610.4</v>
      </c>
      <c r="CN12" s="4" t="n">
        <v>120.1</v>
      </c>
      <c r="CO12" s="4" t="n">
        <v>7739.8</v>
      </c>
      <c r="CP12" s="4" t="n">
        <v>1436.9</v>
      </c>
      <c r="CQ12" s="4" t="n">
        <v>4879.1</v>
      </c>
      <c r="CR12" s="4" t="n">
        <v>5540.5</v>
      </c>
      <c r="CS12" s="4" t="n">
        <v>199.1</v>
      </c>
      <c r="CT12" s="4" t="n">
        <v>1583</v>
      </c>
      <c r="CU12" s="4" t="n">
        <v>9</v>
      </c>
      <c r="CW12" s="4" t="n">
        <v>-6</v>
      </c>
      <c r="CX12" s="4" t="n">
        <v>118.1</v>
      </c>
      <c r="CY12" s="4" t="n">
        <v>33</v>
      </c>
      <c r="CZ12" s="4" t="n">
        <v>1554</v>
      </c>
      <c r="LX12" s="5" t="n">
        <f aca="false">SUM(B12:LW12)</f>
        <v>2100206.2</v>
      </c>
    </row>
    <row r="13" customFormat="false" ht="15" hidden="false" customHeight="false" outlineLevel="0" collapsed="false">
      <c r="A13" s="3" t="s">
        <v>25</v>
      </c>
      <c r="F13" s="4" t="n">
        <v>57780.3</v>
      </c>
      <c r="G13" s="4" t="n">
        <v>4210.3</v>
      </c>
      <c r="H13" s="4" t="n">
        <v>105315.1</v>
      </c>
      <c r="I13" s="4" t="n">
        <v>134693.6</v>
      </c>
      <c r="J13" s="4" t="n">
        <v>398902.9</v>
      </c>
      <c r="K13" s="4" t="n">
        <v>58642.7</v>
      </c>
      <c r="LX13" s="5" t="n">
        <f aca="false">SUM(B13:LW13)</f>
        <v>759544.9</v>
      </c>
    </row>
    <row r="14" customFormat="false" ht="15" hidden="false" customHeight="false" outlineLevel="0" collapsed="false">
      <c r="A14" s="3" t="s">
        <v>26</v>
      </c>
      <c r="LX14" s="5" t="n">
        <f aca="false">SUM(B14:LW14)</f>
        <v>0</v>
      </c>
    </row>
    <row r="15" customFormat="false" ht="15" hidden="false" customHeight="false" outlineLevel="0" collapsed="false">
      <c r="A15" s="3" t="s">
        <v>27</v>
      </c>
      <c r="DA15" s="4" t="n">
        <v>33090.4</v>
      </c>
      <c r="DB15" s="4" t="n">
        <v>385.4</v>
      </c>
      <c r="DC15" s="4" t="n">
        <v>3512.7</v>
      </c>
      <c r="DD15" s="4" t="n">
        <v>4443.7</v>
      </c>
      <c r="DE15" s="4" t="n">
        <v>21912.6</v>
      </c>
      <c r="DF15" s="4" t="n">
        <v>24540.3</v>
      </c>
      <c r="DG15" s="4" t="n">
        <v>208.4</v>
      </c>
      <c r="DH15" s="4" t="n">
        <v>1579.4</v>
      </c>
      <c r="DI15" s="4" t="n">
        <v>1007.1</v>
      </c>
      <c r="DJ15" s="4" t="n">
        <v>1503.3</v>
      </c>
      <c r="DK15" s="4" t="n">
        <v>1089.8</v>
      </c>
      <c r="DL15" s="4" t="n">
        <v>11756.1</v>
      </c>
      <c r="DM15" s="4" t="n">
        <v>995.4</v>
      </c>
      <c r="DO15" s="4" t="n">
        <v>1675.1</v>
      </c>
      <c r="DP15" s="4" t="n">
        <v>4440.7</v>
      </c>
      <c r="DQ15" s="4" t="n">
        <v>7.1</v>
      </c>
      <c r="DR15" s="4" t="n">
        <v>74.5</v>
      </c>
      <c r="DS15" s="4" t="n">
        <v>1092.7</v>
      </c>
      <c r="DT15" s="4" t="n">
        <v>1993.5</v>
      </c>
      <c r="DU15" s="4" t="n">
        <v>547.5</v>
      </c>
      <c r="DV15" s="4" t="n">
        <v>3127.7</v>
      </c>
      <c r="DW15" s="4" t="n">
        <v>14383.4</v>
      </c>
      <c r="DX15" s="4" t="n">
        <v>589.3</v>
      </c>
      <c r="DY15" s="4" t="n">
        <v>7812.7</v>
      </c>
      <c r="DZ15" s="4" t="n">
        <v>13030.5</v>
      </c>
      <c r="EA15" s="4" t="n">
        <v>10693.5</v>
      </c>
      <c r="EB15" s="4" t="n">
        <v>279.8</v>
      </c>
      <c r="EC15" s="4" t="n">
        <v>1400.2</v>
      </c>
      <c r="ED15" s="4" t="n">
        <v>6090.4</v>
      </c>
      <c r="EE15" s="4" t="n">
        <v>290.4</v>
      </c>
      <c r="EF15" s="4" t="n">
        <v>17330.1</v>
      </c>
      <c r="EH15" s="4" t="n">
        <v>10575.3</v>
      </c>
      <c r="EI15" s="4" t="n">
        <v>20558.6</v>
      </c>
      <c r="EJ15" s="4" t="n">
        <v>9069.5</v>
      </c>
      <c r="EK15" s="4" t="n">
        <v>8639.5</v>
      </c>
      <c r="EL15" s="4" t="n">
        <v>11471.8</v>
      </c>
      <c r="EM15" s="4" t="n">
        <v>9646.6</v>
      </c>
      <c r="EN15" s="4" t="n">
        <v>105.1</v>
      </c>
      <c r="EO15" s="4" t="n">
        <v>752.9</v>
      </c>
      <c r="EP15" s="4" t="n">
        <v>305.2</v>
      </c>
      <c r="EQ15" s="4" t="n">
        <v>113.4</v>
      </c>
      <c r="ER15" s="4" t="n">
        <v>0.1</v>
      </c>
      <c r="ES15" s="4" t="n">
        <v>1746.9</v>
      </c>
      <c r="ET15" s="4" t="n">
        <v>2050.9</v>
      </c>
      <c r="EU15" s="4" t="n">
        <v>208.8</v>
      </c>
      <c r="EW15" s="4" t="n">
        <v>27408.6</v>
      </c>
      <c r="EZ15" s="4" t="n">
        <v>314</v>
      </c>
      <c r="FA15" s="4" t="n">
        <v>13637.6</v>
      </c>
      <c r="FB15" s="4" t="n">
        <v>484.1</v>
      </c>
      <c r="FC15" s="4" t="n">
        <v>10813</v>
      </c>
      <c r="FD15" s="4" t="n">
        <v>158.8</v>
      </c>
      <c r="FE15" s="4" t="n">
        <v>172.5</v>
      </c>
      <c r="FF15" s="4" t="n">
        <v>58070.9</v>
      </c>
      <c r="FG15" s="4" t="n">
        <v>10254.2</v>
      </c>
      <c r="FH15" s="4" t="n">
        <v>39483.6</v>
      </c>
      <c r="FI15" s="4" t="n">
        <v>1005.2</v>
      </c>
      <c r="FJ15" s="4" t="n">
        <v>6359.4</v>
      </c>
      <c r="FK15" s="4" t="n">
        <v>1050.1</v>
      </c>
      <c r="FL15" s="4" t="n">
        <v>244.4</v>
      </c>
      <c r="FM15" s="4" t="n">
        <v>3669.9</v>
      </c>
      <c r="FN15" s="4" t="n">
        <v>5443.9</v>
      </c>
      <c r="FO15" s="4" t="n">
        <v>1777.5</v>
      </c>
      <c r="FP15" s="4" t="n">
        <v>16810.7</v>
      </c>
      <c r="FQ15" s="4" t="n">
        <v>7461.8</v>
      </c>
      <c r="FR15" s="4" t="n">
        <v>4975.9</v>
      </c>
      <c r="FS15" s="4" t="n">
        <v>3066.2</v>
      </c>
      <c r="FT15" s="4" t="n">
        <v>1289.3</v>
      </c>
      <c r="FU15" s="4" t="n">
        <v>27252.3</v>
      </c>
      <c r="FV15" s="4" t="n">
        <v>11697.6</v>
      </c>
      <c r="FW15" s="4" t="n">
        <v>9419</v>
      </c>
      <c r="FX15" s="4" t="n">
        <v>63.3</v>
      </c>
      <c r="FY15" s="4" t="n">
        <v>119.3</v>
      </c>
      <c r="FZ15" s="4" t="n">
        <v>360.2</v>
      </c>
      <c r="GA15" s="4" t="n">
        <v>12655.5</v>
      </c>
      <c r="GB15" s="4" t="n">
        <v>1457.8</v>
      </c>
      <c r="GC15" s="4" t="n">
        <v>25003.3</v>
      </c>
      <c r="GD15" s="4" t="n">
        <v>5187.6</v>
      </c>
      <c r="GE15" s="4" t="n">
        <v>21065.7</v>
      </c>
      <c r="GF15" s="4" t="n">
        <v>2748.1</v>
      </c>
      <c r="GG15" s="4" t="n">
        <v>7657.9</v>
      </c>
      <c r="GH15" s="4" t="n">
        <v>8215</v>
      </c>
      <c r="GI15" s="4" t="n">
        <v>14158</v>
      </c>
      <c r="GJ15" s="4" t="n">
        <v>6281.4</v>
      </c>
      <c r="GK15" s="4" t="n">
        <v>60552.5</v>
      </c>
      <c r="GL15" s="4" t="n">
        <v>61601.3</v>
      </c>
      <c r="GM15" s="4" t="n">
        <v>2907.8</v>
      </c>
      <c r="GN15" s="4" t="n">
        <v>13718.5</v>
      </c>
      <c r="GO15" s="4" t="n">
        <v>284.4</v>
      </c>
      <c r="GP15" s="4" t="n">
        <v>17678</v>
      </c>
      <c r="GQ15" s="4" t="n">
        <v>6630.9</v>
      </c>
      <c r="GR15" s="4" t="n">
        <v>31944.9</v>
      </c>
      <c r="GS15" s="4" t="n">
        <v>9153.9</v>
      </c>
      <c r="GT15" s="4" t="n">
        <v>35825.2</v>
      </c>
      <c r="GU15" s="4" t="n">
        <v>5516.4</v>
      </c>
      <c r="GV15" s="4" t="n">
        <v>1150.8</v>
      </c>
      <c r="GW15" s="4" t="n">
        <v>5235.2</v>
      </c>
      <c r="GX15" s="4" t="n">
        <v>564.9</v>
      </c>
      <c r="GY15" s="4" t="n">
        <v>6558.8</v>
      </c>
      <c r="GZ15" s="4" t="n">
        <v>4929.8</v>
      </c>
      <c r="HA15" s="4" t="n">
        <v>10460.2</v>
      </c>
      <c r="HB15" s="4" t="n">
        <v>2690.3</v>
      </c>
      <c r="HC15" s="4" t="n">
        <v>171680.4</v>
      </c>
      <c r="HD15" s="4" t="n">
        <v>37133.4</v>
      </c>
      <c r="HE15" s="4" t="n">
        <v>9586.1</v>
      </c>
      <c r="HF15" s="4" t="n">
        <v>60266.1</v>
      </c>
      <c r="HG15" s="4" t="n">
        <v>30424.6</v>
      </c>
      <c r="HH15" s="4" t="n">
        <v>35225.2</v>
      </c>
      <c r="HI15" s="4" t="n">
        <v>4904.6</v>
      </c>
      <c r="HJ15" s="4" t="n">
        <v>55405.6</v>
      </c>
      <c r="HK15" s="4" t="n">
        <v>141982.8</v>
      </c>
      <c r="HM15" s="4" t="n">
        <v>1437.2</v>
      </c>
      <c r="HN15" s="4" t="n">
        <v>116189.8</v>
      </c>
      <c r="HO15" s="4" t="n">
        <v>4021.5</v>
      </c>
      <c r="HP15" s="4" t="n">
        <v>16571</v>
      </c>
      <c r="HQ15" s="4" t="n">
        <v>4681.6</v>
      </c>
      <c r="HR15" s="4" t="n">
        <v>42250</v>
      </c>
      <c r="HS15" s="4" t="n">
        <v>12991.5</v>
      </c>
      <c r="HT15" s="4" t="n">
        <v>-1163557</v>
      </c>
      <c r="HU15" s="4" t="n">
        <v>1445.2</v>
      </c>
      <c r="HV15" s="4" t="n">
        <v>1595.2</v>
      </c>
      <c r="HW15" s="4" t="n">
        <v>2722.3</v>
      </c>
      <c r="HX15" s="4" t="n">
        <v>-29002.6</v>
      </c>
      <c r="HY15" s="4" t="n">
        <v>49908.9</v>
      </c>
      <c r="HZ15" s="4" t="n">
        <v>19374.3</v>
      </c>
      <c r="IA15" s="4" t="n">
        <v>1639.2</v>
      </c>
      <c r="IB15" s="4" t="n">
        <v>12879.5</v>
      </c>
      <c r="IC15" s="4" t="n">
        <v>89</v>
      </c>
      <c r="IG15" s="4" t="n">
        <v>2412.3</v>
      </c>
      <c r="IH15" s="4" t="n">
        <v>1829.2</v>
      </c>
      <c r="LX15" s="5" t="n">
        <f aca="false">SUM(B15:LW15)</f>
        <v>556912.6</v>
      </c>
    </row>
    <row r="16" customFormat="false" ht="15" hidden="false" customHeight="false" outlineLevel="0" collapsed="false">
      <c r="A16" s="3" t="s">
        <v>28</v>
      </c>
      <c r="E16" s="4" t="n">
        <v>-1984928.7</v>
      </c>
      <c r="F16" s="4" t="n">
        <v>17507.2</v>
      </c>
      <c r="G16" s="4" t="n">
        <v>1275.7</v>
      </c>
      <c r="H16" s="4" t="n">
        <v>31910.1</v>
      </c>
      <c r="I16" s="4" t="n">
        <v>40811.7</v>
      </c>
      <c r="J16" s="4" t="n">
        <v>298807.9</v>
      </c>
      <c r="K16" s="4" t="n">
        <v>57199.9</v>
      </c>
      <c r="L16" s="4" t="n">
        <v>53919.3</v>
      </c>
      <c r="DA16" s="4" t="n">
        <v>1011.1</v>
      </c>
      <c r="DB16" s="4" t="n">
        <v>11.8</v>
      </c>
      <c r="DC16" s="4" t="n">
        <v>866.8</v>
      </c>
      <c r="DD16" s="4" t="n">
        <v>1096.5</v>
      </c>
      <c r="DE16" s="4" t="n">
        <v>14.9</v>
      </c>
      <c r="DF16" s="4" t="n">
        <v>10.3</v>
      </c>
      <c r="DH16" s="4" t="n">
        <v>3.1</v>
      </c>
      <c r="DI16" s="4" t="n">
        <v>34.5</v>
      </c>
      <c r="DJ16" s="4" t="n">
        <v>0.1</v>
      </c>
      <c r="DL16" s="4" t="n">
        <v>3</v>
      </c>
      <c r="DM16" s="4" t="n">
        <v>0.1</v>
      </c>
      <c r="DO16" s="4" t="n">
        <v>16.4</v>
      </c>
      <c r="DP16" s="4" t="n">
        <v>452</v>
      </c>
      <c r="DT16" s="4" t="n">
        <v>20.8</v>
      </c>
      <c r="DU16" s="4" t="n">
        <v>377.4</v>
      </c>
      <c r="DX16" s="4" t="n">
        <v>22</v>
      </c>
      <c r="DY16" s="4" t="n">
        <v>317.5</v>
      </c>
      <c r="DZ16" s="4" t="n">
        <v>396.6</v>
      </c>
      <c r="EE16" s="4" t="n">
        <v>280.4</v>
      </c>
      <c r="EH16" s="4" t="n">
        <v>1</v>
      </c>
      <c r="EI16" s="4" t="n">
        <v>1.9</v>
      </c>
      <c r="EJ16" s="4" t="n">
        <v>0.1</v>
      </c>
      <c r="EL16" s="4" t="n">
        <v>1</v>
      </c>
      <c r="EM16" s="4" t="n">
        <v>0</v>
      </c>
      <c r="EO16" s="4" t="n">
        <v>0.2</v>
      </c>
      <c r="EP16" s="4" t="n">
        <v>2</v>
      </c>
      <c r="EQ16" s="4" t="n">
        <v>0.7</v>
      </c>
      <c r="ES16" s="4" t="n">
        <v>0</v>
      </c>
      <c r="EU16" s="4" t="n">
        <v>2.1</v>
      </c>
      <c r="EW16" s="4" t="n">
        <v>41.8</v>
      </c>
      <c r="FA16" s="4" t="n">
        <v>1</v>
      </c>
      <c r="FG16" s="4" t="n">
        <v>384.3</v>
      </c>
      <c r="FH16" s="4" t="n">
        <v>98.7</v>
      </c>
      <c r="FI16" s="4" t="n">
        <v>0.2</v>
      </c>
      <c r="FJ16" s="4" t="n">
        <v>624.1</v>
      </c>
      <c r="FK16" s="4" t="n">
        <v>32.2</v>
      </c>
      <c r="FL16" s="4" t="n">
        <v>0.2</v>
      </c>
      <c r="FM16" s="4" t="n">
        <v>59.3</v>
      </c>
      <c r="FN16" s="4" t="n">
        <v>49.2</v>
      </c>
      <c r="FO16" s="4" t="n">
        <v>670.4</v>
      </c>
      <c r="FP16" s="4" t="n">
        <v>4397.6</v>
      </c>
      <c r="FQ16" s="4" t="n">
        <v>0</v>
      </c>
      <c r="FS16" s="4" t="n">
        <v>21.8</v>
      </c>
      <c r="FU16" s="4" t="n">
        <v>8909.1</v>
      </c>
      <c r="FV16" s="4" t="n">
        <v>1652.5</v>
      </c>
      <c r="FW16" s="4" t="n">
        <v>5.6</v>
      </c>
      <c r="FX16" s="4" t="n">
        <v>14.6</v>
      </c>
      <c r="FZ16" s="4" t="n">
        <v>32.8</v>
      </c>
      <c r="GB16" s="4" t="n">
        <v>3.3</v>
      </c>
      <c r="GC16" s="4" t="n">
        <v>1957.1</v>
      </c>
      <c r="GD16" s="4" t="n">
        <v>965.4</v>
      </c>
      <c r="GE16" s="4" t="n">
        <v>5859.4</v>
      </c>
      <c r="GF16" s="4" t="n">
        <v>31</v>
      </c>
      <c r="GG16" s="4" t="n">
        <v>5031</v>
      </c>
      <c r="GH16" s="4" t="n">
        <v>2415.1</v>
      </c>
      <c r="GJ16" s="4" t="n">
        <v>551.5</v>
      </c>
      <c r="GL16" s="4" t="n">
        <v>3146.1</v>
      </c>
      <c r="GM16" s="4" t="n">
        <v>892.4</v>
      </c>
      <c r="GN16" s="4" t="n">
        <v>952.6</v>
      </c>
      <c r="GP16" s="4" t="n">
        <v>293.2</v>
      </c>
      <c r="GQ16" s="4" t="n">
        <v>1940.5</v>
      </c>
      <c r="GR16" s="4" t="n">
        <v>109.2</v>
      </c>
      <c r="GS16" s="4" t="n">
        <v>2202.9</v>
      </c>
      <c r="GT16" s="4" t="n">
        <v>3012.5</v>
      </c>
      <c r="GU16" s="4" t="n">
        <v>1832</v>
      </c>
      <c r="GX16" s="4" t="n">
        <v>281.3</v>
      </c>
      <c r="GY16" s="4" t="n">
        <v>488.3</v>
      </c>
      <c r="GZ16" s="4" t="n">
        <v>182.6</v>
      </c>
      <c r="HA16" s="4" t="n">
        <v>2637.3</v>
      </c>
      <c r="HB16" s="4" t="n">
        <v>383.3</v>
      </c>
      <c r="HC16" s="4" t="n">
        <v>97109.7</v>
      </c>
      <c r="HD16" s="4" t="n">
        <v>2444.7</v>
      </c>
      <c r="HE16" s="4" t="n">
        <v>759.5</v>
      </c>
      <c r="HF16" s="4" t="n">
        <v>26059.4</v>
      </c>
      <c r="HG16" s="4" t="n">
        <v>9200.6</v>
      </c>
      <c r="HH16" s="4" t="n">
        <v>11887.9</v>
      </c>
      <c r="HI16" s="4" t="n">
        <v>3514.1</v>
      </c>
      <c r="HJ16" s="4" t="n">
        <v>18279.9</v>
      </c>
      <c r="HK16" s="4" t="n">
        <v>28846.6</v>
      </c>
      <c r="HM16" s="4" t="n">
        <v>250.8</v>
      </c>
      <c r="HN16" s="4" t="n">
        <v>7827.4</v>
      </c>
      <c r="HO16" s="4" t="n">
        <v>1012.3</v>
      </c>
      <c r="HS16" s="4" t="n">
        <v>1329.4</v>
      </c>
      <c r="LX16" s="5" t="n">
        <f aca="false">SUM(B16:LW16)</f>
        <v>-1217866.9</v>
      </c>
    </row>
    <row r="17" customFormat="false" ht="15" hidden="false" customHeight="false" outlineLevel="0" collapsed="false">
      <c r="A17" s="3" t="s">
        <v>29</v>
      </c>
      <c r="DA17" s="4" t="n">
        <v>236628.6</v>
      </c>
      <c r="IJ17" s="4" t="n">
        <v>2949.2</v>
      </c>
      <c r="LX17" s="5" t="n">
        <f aca="false">SUM(B17:LW17)</f>
        <v>239577.8</v>
      </c>
    </row>
    <row r="18" customFormat="false" ht="15" hidden="false" customHeight="false" outlineLevel="0" collapsed="false">
      <c r="A18" s="3" t="s">
        <v>30</v>
      </c>
      <c r="DB18" s="4" t="n">
        <v>2756.1</v>
      </c>
      <c r="IK18" s="4" t="n">
        <v>34.4</v>
      </c>
      <c r="LX18" s="5" t="n">
        <f aca="false">SUM(B18:LW18)</f>
        <v>2790.5</v>
      </c>
    </row>
    <row r="19" customFormat="false" ht="15" hidden="false" customHeight="false" outlineLevel="0" collapsed="false">
      <c r="A19" s="3" t="s">
        <v>31</v>
      </c>
      <c r="DC19" s="4" t="n">
        <v>23078.8</v>
      </c>
      <c r="IL19" s="4" t="n">
        <v>312.9</v>
      </c>
      <c r="LX19" s="5" t="n">
        <f aca="false">SUM(B19:LW19)</f>
        <v>23391.7</v>
      </c>
    </row>
    <row r="20" customFormat="false" ht="15" hidden="false" customHeight="false" outlineLevel="0" collapsed="false">
      <c r="A20" s="3" t="s">
        <v>32</v>
      </c>
      <c r="DD20" s="4" t="n">
        <v>29195.2</v>
      </c>
      <c r="IM20" s="4" t="n">
        <v>395.8</v>
      </c>
      <c r="LX20" s="5" t="n">
        <f aca="false">SUM(B20:LW20)</f>
        <v>29591</v>
      </c>
    </row>
    <row r="21" customFormat="false" ht="15" hidden="false" customHeight="false" outlineLevel="0" collapsed="false">
      <c r="A21" s="3" t="s">
        <v>33</v>
      </c>
      <c r="DE21" s="4" t="n">
        <v>226084.2</v>
      </c>
      <c r="IN21" s="4" t="n">
        <v>1952.3</v>
      </c>
      <c r="LX21" s="5" t="n">
        <f aca="false">SUM(B21:LW21)</f>
        <v>228036.5</v>
      </c>
    </row>
    <row r="22" customFormat="false" ht="15" hidden="false" customHeight="false" outlineLevel="0" collapsed="false">
      <c r="A22" s="3" t="s">
        <v>34</v>
      </c>
      <c r="DF22" s="4" t="n">
        <v>245461.2</v>
      </c>
      <c r="IO22" s="4" t="n">
        <v>2186.5</v>
      </c>
      <c r="LX22" s="5" t="n">
        <f aca="false">SUM(B22:LW22)</f>
        <v>247647.7</v>
      </c>
    </row>
    <row r="23" customFormat="false" ht="15" hidden="false" customHeight="false" outlineLevel="0" collapsed="false">
      <c r="A23" s="3" t="s">
        <v>35</v>
      </c>
      <c r="DG23" s="4" t="n">
        <v>1397.6</v>
      </c>
      <c r="IP23" s="4" t="n">
        <v>18.6</v>
      </c>
      <c r="LX23" s="5" t="n">
        <f aca="false">SUM(B23:LW23)</f>
        <v>1416.2</v>
      </c>
    </row>
    <row r="24" customFormat="false" ht="15" hidden="false" customHeight="false" outlineLevel="0" collapsed="false">
      <c r="A24" s="3" t="s">
        <v>36</v>
      </c>
      <c r="DH24" s="4" t="n">
        <v>4456.7</v>
      </c>
      <c r="IQ24" s="4" t="n">
        <v>138.9</v>
      </c>
      <c r="LX24" s="5" t="n">
        <f aca="false">SUM(B24:LW24)</f>
        <v>4595.6</v>
      </c>
    </row>
    <row r="25" customFormat="false" ht="15" hidden="false" customHeight="false" outlineLevel="0" collapsed="false">
      <c r="A25" s="3" t="s">
        <v>37</v>
      </c>
      <c r="DI25" s="4" t="n">
        <v>2337.8</v>
      </c>
      <c r="IR25" s="4" t="n">
        <v>88.6</v>
      </c>
      <c r="LX25" s="5" t="n">
        <f aca="false">SUM(B25:LW25)</f>
        <v>2426.4</v>
      </c>
    </row>
    <row r="26" customFormat="false" ht="15" hidden="false" customHeight="false" outlineLevel="0" collapsed="false">
      <c r="A26" s="3" t="s">
        <v>38</v>
      </c>
      <c r="DJ26" s="4" t="n">
        <v>5160.7</v>
      </c>
      <c r="DK26" s="4" t="n">
        <v>3015.3</v>
      </c>
      <c r="IS26" s="4" t="n">
        <v>132.3</v>
      </c>
      <c r="IT26" s="4" t="n">
        <v>95.9</v>
      </c>
      <c r="LX26" s="5" t="n">
        <f aca="false">SUM(B26:LW26)</f>
        <v>8404.2</v>
      </c>
    </row>
    <row r="27" customFormat="false" ht="15" hidden="false" customHeight="false" outlineLevel="0" collapsed="false">
      <c r="A27" s="3" t="s">
        <v>39</v>
      </c>
      <c r="DL27" s="4" t="n">
        <v>118937.6</v>
      </c>
      <c r="IU27" s="4" t="n">
        <v>1042.5</v>
      </c>
      <c r="LX27" s="5" t="n">
        <f aca="false">SUM(B27:LW27)</f>
        <v>119980.1</v>
      </c>
    </row>
    <row r="28" customFormat="false" ht="15" hidden="false" customHeight="false" outlineLevel="0" collapsed="false">
      <c r="A28" s="3" t="s">
        <v>40</v>
      </c>
      <c r="DM28" s="4" t="n">
        <v>8431.3</v>
      </c>
      <c r="IV28" s="4" t="n">
        <v>88.2</v>
      </c>
      <c r="LX28" s="5" t="n">
        <f aca="false">SUM(B28:LW28)</f>
        <v>8519.5</v>
      </c>
    </row>
    <row r="29" customFormat="false" ht="15" hidden="false" customHeight="false" outlineLevel="0" collapsed="false">
      <c r="A29" s="3" t="s">
        <v>41</v>
      </c>
      <c r="DO29" s="4" t="n">
        <v>9872.2</v>
      </c>
      <c r="IW29" s="4" t="n">
        <v>2740.6</v>
      </c>
      <c r="LX29" s="5" t="n">
        <f aca="false">SUM(B29:LW29)</f>
        <v>12612.8</v>
      </c>
    </row>
    <row r="30" customFormat="false" ht="15" hidden="false" customHeight="false" outlineLevel="0" collapsed="false">
      <c r="A30" s="3" t="s">
        <v>42</v>
      </c>
      <c r="DP30" s="4" t="n">
        <v>24701</v>
      </c>
      <c r="IX30" s="4" t="n">
        <v>7259.8</v>
      </c>
      <c r="LX30" s="5" t="n">
        <f aca="false">SUM(B30:LW30)</f>
        <v>31960.8</v>
      </c>
    </row>
    <row r="31" customFormat="false" ht="15" hidden="false" customHeight="false" outlineLevel="0" collapsed="false">
      <c r="A31" s="3" t="s">
        <v>43</v>
      </c>
      <c r="DQ31" s="4" t="n">
        <v>568.6</v>
      </c>
      <c r="DR31" s="4" t="n">
        <v>1245.5</v>
      </c>
      <c r="DS31" s="4" t="n">
        <v>9873.8</v>
      </c>
      <c r="DT31" s="4" t="n">
        <v>20285.9</v>
      </c>
      <c r="DU31" s="4" t="n">
        <v>2178.1</v>
      </c>
      <c r="IY31" s="4" t="n">
        <v>11.7</v>
      </c>
      <c r="IZ31" s="4" t="n">
        <v>121.9</v>
      </c>
      <c r="JA31" s="4" t="n">
        <v>1786.4</v>
      </c>
      <c r="JB31" s="4" t="n">
        <v>3258.9</v>
      </c>
      <c r="JC31" s="4" t="n">
        <v>895</v>
      </c>
      <c r="LX31" s="5" t="n">
        <f aca="false">SUM(B31:LW31)</f>
        <v>40225.8</v>
      </c>
    </row>
    <row r="32" customFormat="false" ht="15" hidden="false" customHeight="false" outlineLevel="0" collapsed="false">
      <c r="A32" s="3" t="s">
        <v>44</v>
      </c>
      <c r="DV32" s="4" t="n">
        <v>1528.6</v>
      </c>
      <c r="JD32" s="4" t="n">
        <v>21090.5</v>
      </c>
      <c r="LX32" s="5" t="n">
        <f aca="false">SUM(B32:LW32)</f>
        <v>22619.1</v>
      </c>
    </row>
    <row r="33" customFormat="false" ht="15" hidden="false" customHeight="false" outlineLevel="0" collapsed="false">
      <c r="A33" s="3" t="s">
        <v>45</v>
      </c>
      <c r="DW33" s="4" t="n">
        <v>7029.5</v>
      </c>
      <c r="JE33" s="4" t="n">
        <v>96990.8</v>
      </c>
      <c r="LX33" s="5" t="n">
        <f aca="false">SUM(B33:LW33)</f>
        <v>104020.3</v>
      </c>
    </row>
    <row r="34" customFormat="false" ht="15" hidden="false" customHeight="false" outlineLevel="0" collapsed="false">
      <c r="A34" s="3" t="s">
        <v>46</v>
      </c>
      <c r="DX34" s="4" t="n">
        <v>1176</v>
      </c>
      <c r="DY34" s="4" t="n">
        <v>15591</v>
      </c>
      <c r="JF34" s="4" t="n">
        <v>786.6</v>
      </c>
      <c r="JG34" s="4" t="n">
        <v>10428.4</v>
      </c>
      <c r="LX34" s="5" t="n">
        <f aca="false">SUM(B34:LW34)</f>
        <v>27982</v>
      </c>
    </row>
    <row r="35" customFormat="false" ht="15" hidden="false" customHeight="false" outlineLevel="0" collapsed="false">
      <c r="A35" s="3" t="s">
        <v>47</v>
      </c>
      <c r="DZ35" s="4" t="n">
        <v>28301.4</v>
      </c>
      <c r="JH35" s="4" t="n">
        <v>139.6</v>
      </c>
      <c r="LX35" s="5" t="n">
        <f aca="false">SUM(B35:LW35)</f>
        <v>28441</v>
      </c>
    </row>
    <row r="36" customFormat="false" ht="15" hidden="false" customHeight="false" outlineLevel="0" collapsed="false">
      <c r="A36" s="3" t="s">
        <v>48</v>
      </c>
      <c r="EA36" s="4" t="n">
        <v>49013.2</v>
      </c>
      <c r="JI36" s="4" t="n">
        <v>4716.7</v>
      </c>
      <c r="LX36" s="5" t="n">
        <f aca="false">SUM(B36:LW36)</f>
        <v>53729.9</v>
      </c>
    </row>
    <row r="37" customFormat="false" ht="15" hidden="false" customHeight="false" outlineLevel="0" collapsed="false">
      <c r="A37" s="3" t="s">
        <v>49</v>
      </c>
      <c r="EB37" s="4" t="n">
        <v>5209.7</v>
      </c>
      <c r="JJ37" s="4" t="n">
        <v>123.4</v>
      </c>
      <c r="LX37" s="5" t="n">
        <f aca="false">SUM(B37:LW37)</f>
        <v>5333.1</v>
      </c>
    </row>
    <row r="38" customFormat="false" ht="15" hidden="false" customHeight="false" outlineLevel="0" collapsed="false">
      <c r="A38" s="3" t="s">
        <v>50</v>
      </c>
      <c r="EC38" s="4" t="n">
        <v>122439.5</v>
      </c>
      <c r="LX38" s="5" t="n">
        <f aca="false">SUM(B38:LW38)</f>
        <v>122439.5</v>
      </c>
    </row>
    <row r="39" customFormat="false" ht="15" hidden="false" customHeight="false" outlineLevel="0" collapsed="false">
      <c r="A39" s="3" t="s">
        <v>51</v>
      </c>
      <c r="ED39" s="4" t="n">
        <v>20169.2</v>
      </c>
      <c r="EE39" s="4" t="n">
        <v>961.7</v>
      </c>
      <c r="HS39" s="4" t="n">
        <v>117.3</v>
      </c>
      <c r="JK39" s="4" t="n">
        <v>196749.5</v>
      </c>
      <c r="JL39" s="4" t="n">
        <v>9381</v>
      </c>
      <c r="LN39" s="4" t="n">
        <v>7.6</v>
      </c>
      <c r="LX39" s="5" t="n">
        <f aca="false">SUM(B39:LW39)</f>
        <v>227386.3</v>
      </c>
    </row>
    <row r="40" customFormat="false" ht="15" hidden="false" customHeight="false" outlineLevel="0" collapsed="false">
      <c r="A40" s="3" t="s">
        <v>52</v>
      </c>
      <c r="EF40" s="4" t="n">
        <v>-11851.2</v>
      </c>
      <c r="JM40" s="4" t="n">
        <v>82941.7</v>
      </c>
      <c r="LX40" s="5" t="n">
        <f aca="false">SUM(B40:LW40)</f>
        <v>71090.5</v>
      </c>
    </row>
    <row r="41" customFormat="false" ht="15" hidden="false" customHeight="false" outlineLevel="0" collapsed="false">
      <c r="A41" s="3" t="s">
        <v>53</v>
      </c>
      <c r="EG41" s="4" t="n">
        <v>35058.4</v>
      </c>
      <c r="LX41" s="5" t="n">
        <f aca="false">SUM(B41:LW41)</f>
        <v>35058.4</v>
      </c>
    </row>
    <row r="42" customFormat="false" ht="15" hidden="false" customHeight="false" outlineLevel="0" collapsed="false">
      <c r="A42" s="3" t="s">
        <v>54</v>
      </c>
      <c r="EI42" s="4" t="n">
        <v>149326.9</v>
      </c>
      <c r="EJ42" s="4" t="n">
        <v>65876.4</v>
      </c>
      <c r="EK42" s="4" t="n">
        <v>56718</v>
      </c>
      <c r="EV42" s="4" t="n">
        <v>435.8</v>
      </c>
      <c r="JO42" s="4" t="n">
        <v>1181.8</v>
      </c>
      <c r="JP42" s="4" t="n">
        <v>521.4</v>
      </c>
      <c r="JQ42" s="4" t="n">
        <v>496.6</v>
      </c>
      <c r="LX42" s="5" t="n">
        <f aca="false">SUM(B42:LW42)</f>
        <v>274556.9</v>
      </c>
    </row>
    <row r="43" customFormat="false" ht="15" hidden="false" customHeight="false" outlineLevel="0" collapsed="false">
      <c r="A43" s="3" t="s">
        <v>55</v>
      </c>
      <c r="EL43" s="4" t="n">
        <v>116945.1</v>
      </c>
      <c r="EM43" s="4" t="n">
        <v>96425.2</v>
      </c>
      <c r="EN43" s="4" t="n">
        <v>862</v>
      </c>
      <c r="JR43" s="4" t="n">
        <v>269.6</v>
      </c>
      <c r="JS43" s="4" t="n">
        <v>226.7</v>
      </c>
      <c r="JT43" s="4" t="n">
        <v>2.5</v>
      </c>
      <c r="LX43" s="5" t="n">
        <f aca="false">SUM(B43:LW43)</f>
        <v>214731.1</v>
      </c>
    </row>
    <row r="44" customFormat="false" ht="15" hidden="false" customHeight="false" outlineLevel="0" collapsed="false">
      <c r="A44" s="3" t="s">
        <v>56</v>
      </c>
      <c r="EO44" s="4" t="n">
        <v>3424.3</v>
      </c>
      <c r="LX44" s="5" t="n">
        <f aca="false">SUM(B44:LW44)</f>
        <v>3424.3</v>
      </c>
    </row>
    <row r="45" customFormat="false" ht="15" hidden="false" customHeight="false" outlineLevel="0" collapsed="false">
      <c r="A45" s="3" t="s">
        <v>57</v>
      </c>
      <c r="EP45" s="4" t="n">
        <v>1374.2</v>
      </c>
      <c r="LX45" s="5" t="n">
        <f aca="false">SUM(B45:LW45)</f>
        <v>1374.2</v>
      </c>
    </row>
    <row r="46" customFormat="false" ht="15" hidden="false" customHeight="false" outlineLevel="0" collapsed="false">
      <c r="A46" s="3" t="s">
        <v>58</v>
      </c>
      <c r="EQ46" s="4" t="n">
        <v>510.6</v>
      </c>
      <c r="ER46" s="4" t="n">
        <v>0.6</v>
      </c>
      <c r="LX46" s="5" t="n">
        <f aca="false">SUM(B46:LW46)</f>
        <v>511.2</v>
      </c>
    </row>
    <row r="47" customFormat="false" ht="15" hidden="false" customHeight="false" outlineLevel="0" collapsed="false">
      <c r="A47" s="3" t="s">
        <v>59</v>
      </c>
      <c r="ES47" s="4" t="n">
        <v>14134.4</v>
      </c>
      <c r="LX47" s="5" t="n">
        <f aca="false">SUM(B47:LW47)</f>
        <v>14134.4</v>
      </c>
    </row>
    <row r="48" customFormat="false" ht="15" hidden="false" customHeight="false" outlineLevel="0" collapsed="false">
      <c r="A48" s="3" t="s">
        <v>60</v>
      </c>
      <c r="EU48" s="4" t="n">
        <v>940.4</v>
      </c>
      <c r="LX48" s="5" t="n">
        <f aca="false">SUM(B48:LW48)</f>
        <v>940.4</v>
      </c>
    </row>
    <row r="49" customFormat="false" ht="15" hidden="false" customHeight="false" outlineLevel="0" collapsed="false">
      <c r="A49" s="3" t="s">
        <v>61</v>
      </c>
      <c r="ET49" s="4" t="n">
        <v>7214.5</v>
      </c>
      <c r="EW49" s="4" t="n">
        <v>128498.4</v>
      </c>
      <c r="LX49" s="5" t="n">
        <f aca="false">SUM(B49:LW49)</f>
        <v>135712.9</v>
      </c>
    </row>
    <row r="50" customFormat="false" ht="15" hidden="false" customHeight="false" outlineLevel="0" collapsed="false">
      <c r="A50" s="3" t="s">
        <v>62</v>
      </c>
      <c r="EH50" s="4" t="n">
        <v>48093.7</v>
      </c>
      <c r="JN50" s="4" t="n">
        <v>28223.8</v>
      </c>
      <c r="LX50" s="5" t="n">
        <f aca="false">SUM(B50:LW50)</f>
        <v>76317.5</v>
      </c>
    </row>
    <row r="51" customFormat="false" ht="15" hidden="false" customHeight="false" outlineLevel="0" collapsed="false">
      <c r="A51" s="3" t="s">
        <v>63</v>
      </c>
      <c r="EX51" s="4" t="n">
        <v>3069.8</v>
      </c>
      <c r="EY51" s="4" t="n">
        <v>492.8</v>
      </c>
      <c r="LX51" s="5" t="n">
        <f aca="false">SUM(B51:LW51)</f>
        <v>3562.6</v>
      </c>
    </row>
    <row r="52" customFormat="false" ht="15" hidden="false" customHeight="false" outlineLevel="0" collapsed="false">
      <c r="A52" s="3" t="s">
        <v>64</v>
      </c>
      <c r="FB52" s="4" t="n">
        <v>2028.4</v>
      </c>
      <c r="LX52" s="5" t="n">
        <f aca="false">SUM(B52:LW52)</f>
        <v>2028.4</v>
      </c>
    </row>
    <row r="53" customFormat="false" ht="15" hidden="false" customHeight="false" outlineLevel="0" collapsed="false">
      <c r="A53" s="3" t="s">
        <v>65</v>
      </c>
      <c r="FD53" s="4" t="n">
        <v>720.7</v>
      </c>
      <c r="JX53" s="4" t="n">
        <v>0.5</v>
      </c>
      <c r="LX53" s="5" t="n">
        <f aca="false">SUM(B53:LW53)</f>
        <v>721.2</v>
      </c>
    </row>
    <row r="54" customFormat="false" ht="15" hidden="false" customHeight="false" outlineLevel="0" collapsed="false">
      <c r="A54" s="3" t="s">
        <v>66</v>
      </c>
      <c r="FC54" s="4" t="n">
        <v>49069.3</v>
      </c>
      <c r="FE54" s="4" t="n">
        <v>782.9</v>
      </c>
      <c r="JW54" s="4" t="n">
        <v>34.9</v>
      </c>
      <c r="JY54" s="4" t="n">
        <v>0.6</v>
      </c>
      <c r="LX54" s="5" t="n">
        <f aca="false">SUM(B54:LW54)</f>
        <v>49887.7</v>
      </c>
    </row>
    <row r="55" customFormat="false" ht="15" hidden="false" customHeight="false" outlineLevel="0" collapsed="false">
      <c r="A55" s="3" t="s">
        <v>67</v>
      </c>
      <c r="FA55" s="4" t="n">
        <v>115893.2</v>
      </c>
      <c r="JV55" s="4" t="n">
        <v>23.8</v>
      </c>
      <c r="LX55" s="5" t="n">
        <f aca="false">SUM(B55:LW55)</f>
        <v>115917</v>
      </c>
    </row>
    <row r="56" customFormat="false" ht="15" hidden="false" customHeight="false" outlineLevel="0" collapsed="false">
      <c r="A56" s="3" t="s">
        <v>68</v>
      </c>
      <c r="EZ56" s="4" t="n">
        <v>9143.7</v>
      </c>
      <c r="FA56" s="4" t="n">
        <v>857.2</v>
      </c>
      <c r="JU56" s="4" t="n">
        <v>40</v>
      </c>
      <c r="JV56" s="4" t="n">
        <v>0.2</v>
      </c>
      <c r="LX56" s="5" t="n">
        <f aca="false">SUM(B56:LW56)</f>
        <v>10041.1</v>
      </c>
    </row>
    <row r="57" customFormat="false" ht="15" hidden="false" customHeight="false" outlineLevel="0" collapsed="false">
      <c r="A57" s="3" t="s">
        <v>69</v>
      </c>
      <c r="FF57" s="4" t="n">
        <v>-67306.9</v>
      </c>
      <c r="FG57" s="4" t="n">
        <v>28560.6</v>
      </c>
      <c r="HJ57" s="4" t="n">
        <v>2113.7</v>
      </c>
      <c r="HR57" s="4" t="n">
        <v>17151</v>
      </c>
      <c r="JZ57" s="4" t="n">
        <v>1508164.5</v>
      </c>
      <c r="KA57" s="4" t="n">
        <v>19613.4</v>
      </c>
      <c r="LH57" s="4" t="n">
        <v>199.2</v>
      </c>
      <c r="LM57" s="4" t="n">
        <v>1241.2</v>
      </c>
      <c r="LX57" s="5" t="n">
        <f aca="false">SUM(B57:LW57)</f>
        <v>1509736.7</v>
      </c>
    </row>
    <row r="58" customFormat="false" ht="15" hidden="false" customHeight="false" outlineLevel="0" collapsed="false">
      <c r="A58" s="3" t="s">
        <v>70</v>
      </c>
      <c r="FG58" s="4" t="n">
        <v>121007.5</v>
      </c>
      <c r="HR58" s="4" t="n">
        <v>239.6</v>
      </c>
      <c r="HT58" s="4" t="n">
        <v>131</v>
      </c>
      <c r="HX58" s="4" t="n">
        <v>174.5</v>
      </c>
      <c r="IB58" s="4" t="n">
        <v>562.9</v>
      </c>
      <c r="IC58" s="4" t="n">
        <v>181.8</v>
      </c>
      <c r="IH58" s="4" t="n">
        <v>98</v>
      </c>
      <c r="KA58" s="4" t="n">
        <v>83099.4</v>
      </c>
      <c r="LM58" s="4" t="n">
        <v>17.3</v>
      </c>
      <c r="LP58" s="4" t="n">
        <v>26.5</v>
      </c>
      <c r="LT58" s="4" t="n">
        <v>5.2</v>
      </c>
      <c r="LX58" s="5" t="n">
        <f aca="false">SUM(B58:LW58)</f>
        <v>205543.7</v>
      </c>
    </row>
    <row r="59" customFormat="false" ht="15" hidden="false" customHeight="false" outlineLevel="0" collapsed="false">
      <c r="A59" s="3" t="s">
        <v>71</v>
      </c>
      <c r="FH59" s="4" t="n">
        <v>377801.8</v>
      </c>
      <c r="FI59" s="4" t="n">
        <v>9554.5</v>
      </c>
      <c r="HW59" s="4" t="n">
        <v>13771</v>
      </c>
      <c r="HX59" s="4" t="n">
        <v>2.6</v>
      </c>
      <c r="IB59" s="4" t="n">
        <v>3</v>
      </c>
      <c r="KB59" s="4" t="n">
        <v>40.1</v>
      </c>
      <c r="KC59" s="4" t="n">
        <v>71.7</v>
      </c>
      <c r="LP59" s="4" t="n">
        <v>0.4</v>
      </c>
      <c r="LX59" s="5" t="n">
        <f aca="false">SUM(B59:LW59)</f>
        <v>401245.1</v>
      </c>
    </row>
    <row r="60" customFormat="false" ht="15" hidden="false" customHeight="false" outlineLevel="0" collapsed="false">
      <c r="A60" s="3" t="s">
        <v>72</v>
      </c>
      <c r="FK60" s="4" t="n">
        <v>2061.1</v>
      </c>
      <c r="FO60" s="4" t="n">
        <v>2</v>
      </c>
      <c r="KD60" s="4" t="n">
        <v>17.6</v>
      </c>
      <c r="LX60" s="5" t="n">
        <f aca="false">SUM(B60:LW60)</f>
        <v>2080.7</v>
      </c>
    </row>
    <row r="61" customFormat="false" ht="15" hidden="false" customHeight="false" outlineLevel="0" collapsed="false">
      <c r="A61" s="3" t="s">
        <v>73</v>
      </c>
      <c r="DZ61" s="4" t="n">
        <v>59.7</v>
      </c>
      <c r="EF61" s="4" t="n">
        <v>-53.1</v>
      </c>
      <c r="FM61" s="4" t="n">
        <v>9151.4</v>
      </c>
      <c r="FN61" s="4" t="n">
        <v>22367</v>
      </c>
      <c r="FO61" s="4" t="n">
        <v>43</v>
      </c>
      <c r="FP61" s="4" t="n">
        <v>30285.9</v>
      </c>
      <c r="FQ61" s="4" t="n">
        <v>12432</v>
      </c>
      <c r="FR61" s="4" t="n">
        <v>15542.1</v>
      </c>
      <c r="FS61" s="4" t="n">
        <v>3336.7</v>
      </c>
      <c r="FZ61" s="4" t="n">
        <v>360.9</v>
      </c>
      <c r="GA61" s="4" t="n">
        <v>7060.6</v>
      </c>
      <c r="GB61" s="4" t="n">
        <v>220</v>
      </c>
      <c r="GN61" s="4" t="n">
        <v>11500.7</v>
      </c>
      <c r="HE61" s="4" t="n">
        <v>4014.2</v>
      </c>
      <c r="HT61" s="4" t="n">
        <v>972.8</v>
      </c>
      <c r="HW61" s="4" t="n">
        <v>246</v>
      </c>
      <c r="IB61" s="4" t="n">
        <v>80</v>
      </c>
      <c r="IH61" s="4" t="n">
        <v>58</v>
      </c>
      <c r="JH61" s="4" t="n">
        <v>0.3</v>
      </c>
      <c r="JM61" s="4" t="n">
        <v>372</v>
      </c>
      <c r="KE61" s="4" t="n">
        <v>6260.9</v>
      </c>
      <c r="KF61" s="4" t="n">
        <v>870</v>
      </c>
      <c r="KG61" s="4" t="n">
        <v>96.5</v>
      </c>
      <c r="KH61" s="4" t="n">
        <v>10874.8</v>
      </c>
      <c r="KI61" s="4" t="n">
        <v>0.1</v>
      </c>
      <c r="KJ61" s="4" t="n">
        <v>5923.1</v>
      </c>
      <c r="LC61" s="4" t="n">
        <v>74</v>
      </c>
      <c r="LX61" s="5" t="n">
        <f aca="false">SUM(B61:LW61)</f>
        <v>142149.6</v>
      </c>
    </row>
    <row r="62" customFormat="false" ht="15" hidden="false" customHeight="false" outlineLevel="0" collapsed="false">
      <c r="A62" s="3" t="s">
        <v>74</v>
      </c>
      <c r="DC62" s="4" t="n">
        <v>6.5</v>
      </c>
      <c r="DD62" s="4" t="n">
        <v>8.3</v>
      </c>
      <c r="FO62" s="4" t="n">
        <v>4524.4</v>
      </c>
      <c r="FT62" s="4" t="n">
        <v>37</v>
      </c>
      <c r="FU62" s="4" t="n">
        <v>53778.5</v>
      </c>
      <c r="FV62" s="4" t="n">
        <v>40966.9</v>
      </c>
      <c r="FW62" s="4" t="n">
        <v>42946.5</v>
      </c>
      <c r="FY62" s="4" t="n">
        <v>137.5</v>
      </c>
      <c r="GB62" s="4" t="n">
        <v>541.8</v>
      </c>
      <c r="GF62" s="4" t="n">
        <v>27</v>
      </c>
      <c r="GJ62" s="4" t="n">
        <v>565.8</v>
      </c>
      <c r="GL62" s="4" t="n">
        <v>2913</v>
      </c>
      <c r="HT62" s="4" t="n">
        <v>174.9</v>
      </c>
      <c r="HX62" s="4" t="n">
        <v>1.7</v>
      </c>
      <c r="IB62" s="4" t="n">
        <v>1</v>
      </c>
      <c r="IH62" s="4" t="n">
        <v>8202.1</v>
      </c>
      <c r="IL62" s="4" t="n">
        <v>0.1</v>
      </c>
      <c r="IM62" s="4" t="n">
        <v>0.1</v>
      </c>
      <c r="KK62" s="4" t="n">
        <v>100.8</v>
      </c>
      <c r="KL62" s="4" t="n">
        <v>45.4</v>
      </c>
      <c r="KM62" s="4" t="n">
        <v>3</v>
      </c>
      <c r="KS62" s="4" t="n">
        <v>0</v>
      </c>
      <c r="LP62" s="4" t="n">
        <v>0.3</v>
      </c>
      <c r="LX62" s="5" t="n">
        <f aca="false">SUM(B62:LW62)</f>
        <v>154982.6</v>
      </c>
    </row>
    <row r="63" customFormat="false" ht="15" hidden="false" customHeight="false" outlineLevel="0" collapsed="false">
      <c r="A63" s="3" t="s">
        <v>75</v>
      </c>
      <c r="FS63" s="4" t="n">
        <v>74.9</v>
      </c>
      <c r="GA63" s="4" t="n">
        <v>140737.7</v>
      </c>
      <c r="KJ63" s="4" t="n">
        <v>132.9</v>
      </c>
      <c r="LX63" s="5" t="n">
        <f aca="false">SUM(B63:LW63)</f>
        <v>140945.5</v>
      </c>
    </row>
    <row r="64" customFormat="false" ht="15" hidden="false" customHeight="false" outlineLevel="0" collapsed="false">
      <c r="A64" s="3" t="s">
        <v>76</v>
      </c>
      <c r="FK64" s="4" t="n">
        <v>100.1</v>
      </c>
      <c r="FT64" s="4" t="n">
        <v>199.8</v>
      </c>
      <c r="GI64" s="4" t="n">
        <v>42833.8</v>
      </c>
      <c r="GJ64" s="4" t="n">
        <v>2857.6</v>
      </c>
      <c r="HE64" s="4" t="n">
        <v>117.7</v>
      </c>
      <c r="KD64" s="4" t="n">
        <v>0.9</v>
      </c>
      <c r="KR64" s="4" t="n">
        <v>358.2</v>
      </c>
      <c r="LC64" s="4" t="n">
        <v>2.2</v>
      </c>
      <c r="LX64" s="5" t="n">
        <f aca="false">SUM(B64:LW64)</f>
        <v>46470.3</v>
      </c>
    </row>
    <row r="65" customFormat="false" ht="15" hidden="false" customHeight="false" outlineLevel="0" collapsed="false">
      <c r="A65" s="3" t="s">
        <v>77</v>
      </c>
      <c r="GG65" s="4" t="n">
        <v>46.9</v>
      </c>
      <c r="KP65" s="4" t="n">
        <v>29.1</v>
      </c>
      <c r="LX65" s="5" t="n">
        <f aca="false">SUM(B65:LW65)</f>
        <v>76</v>
      </c>
    </row>
    <row r="66" customFormat="false" ht="15" hidden="false" customHeight="false" outlineLevel="0" collapsed="false">
      <c r="A66" s="3" t="s">
        <v>78</v>
      </c>
      <c r="FO66" s="4" t="n">
        <v>29</v>
      </c>
      <c r="GB66" s="4" t="n">
        <v>306.8</v>
      </c>
      <c r="GH66" s="4" t="n">
        <v>5551.1</v>
      </c>
      <c r="GN66" s="4" t="n">
        <v>4242.5</v>
      </c>
      <c r="HT66" s="4" t="n">
        <v>76</v>
      </c>
      <c r="KQ66" s="4" t="n">
        <v>49.6</v>
      </c>
      <c r="LX66" s="5" t="n">
        <f aca="false">SUM(B66:LW66)</f>
        <v>10255</v>
      </c>
    </row>
    <row r="67" customFormat="false" ht="15" hidden="false" customHeight="false" outlineLevel="0" collapsed="false">
      <c r="A67" s="3" t="s">
        <v>79</v>
      </c>
      <c r="DN67" s="4" t="n">
        <v>133</v>
      </c>
      <c r="FL67" s="4" t="n">
        <v>351.9</v>
      </c>
      <c r="FO67" s="4" t="n">
        <v>89</v>
      </c>
      <c r="FT67" s="4" t="n">
        <v>1563.5</v>
      </c>
      <c r="FW67" s="4" t="n">
        <v>878.8</v>
      </c>
      <c r="GC67" s="4" t="n">
        <v>100283.3</v>
      </c>
      <c r="GD67" s="4" t="n">
        <v>133.2</v>
      </c>
      <c r="GF67" s="4" t="n">
        <v>207.9</v>
      </c>
      <c r="GH67" s="4" t="n">
        <v>91.2</v>
      </c>
      <c r="GJ67" s="4" t="n">
        <v>645.8</v>
      </c>
      <c r="GN67" s="4" t="n">
        <v>65</v>
      </c>
      <c r="HT67" s="4" t="n">
        <v>467.9</v>
      </c>
      <c r="HW67" s="4" t="n">
        <v>13737.7</v>
      </c>
      <c r="IB67" s="4" t="n">
        <v>17</v>
      </c>
      <c r="IH67" s="4" t="n">
        <v>4</v>
      </c>
      <c r="KL67" s="4" t="n">
        <v>0.9</v>
      </c>
      <c r="KN67" s="4" t="n">
        <v>1.8</v>
      </c>
      <c r="KQ67" s="4" t="n">
        <v>0.8</v>
      </c>
      <c r="LX67" s="5" t="n">
        <f aca="false">SUM(B67:LW67)</f>
        <v>118672.7</v>
      </c>
    </row>
    <row r="68" customFormat="false" ht="15" hidden="false" customHeight="false" outlineLevel="0" collapsed="false">
      <c r="A68" s="3" t="s">
        <v>80</v>
      </c>
      <c r="GE68" s="4" t="n">
        <v>16121.5</v>
      </c>
      <c r="GF68" s="4" t="n">
        <v>2143.2</v>
      </c>
      <c r="GN68" s="4" t="n">
        <v>543.9</v>
      </c>
      <c r="II68" s="4" t="n">
        <v>331</v>
      </c>
      <c r="KO68" s="4" t="n">
        <v>233</v>
      </c>
      <c r="LU68" s="4" t="n">
        <v>218</v>
      </c>
      <c r="LX68" s="5" t="n">
        <f aca="false">SUM(B68:LW68)</f>
        <v>19590.6</v>
      </c>
    </row>
    <row r="69" customFormat="false" ht="15" hidden="false" customHeight="false" outlineLevel="0" collapsed="false">
      <c r="A69" s="3" t="s">
        <v>81</v>
      </c>
      <c r="FH69" s="4" t="n">
        <v>2472.7</v>
      </c>
      <c r="FI69" s="4" t="n">
        <v>62.5</v>
      </c>
      <c r="FL69" s="4" t="n">
        <v>362</v>
      </c>
      <c r="FO69" s="4" t="n">
        <v>892</v>
      </c>
      <c r="FT69" s="4" t="n">
        <v>697</v>
      </c>
      <c r="FX69" s="4" t="n">
        <v>175</v>
      </c>
      <c r="GC69" s="4" t="n">
        <v>3588.9</v>
      </c>
      <c r="GD69" s="4" t="n">
        <v>4312.9</v>
      </c>
      <c r="GJ69" s="4" t="n">
        <v>1167</v>
      </c>
      <c r="HT69" s="4" t="n">
        <v>244</v>
      </c>
      <c r="HW69" s="4" t="n">
        <v>6871.9</v>
      </c>
      <c r="KB69" s="4" t="n">
        <v>0.3</v>
      </c>
      <c r="KC69" s="4" t="n">
        <v>0.5</v>
      </c>
      <c r="KN69" s="4" t="n">
        <v>58</v>
      </c>
      <c r="LX69" s="5" t="n">
        <f aca="false">SUM(B69:LW69)</f>
        <v>20904.7</v>
      </c>
    </row>
    <row r="70" customFormat="false" ht="15" hidden="false" customHeight="false" outlineLevel="0" collapsed="false">
      <c r="A70" s="3" t="s">
        <v>82</v>
      </c>
      <c r="FA70" s="4" t="n">
        <v>96</v>
      </c>
      <c r="FY70" s="4" t="n">
        <v>407.2</v>
      </c>
      <c r="GD70" s="4" t="n">
        <v>437.2</v>
      </c>
      <c r="GK70" s="4" t="n">
        <v>233928.8</v>
      </c>
      <c r="GL70" s="4" t="n">
        <v>60208.3</v>
      </c>
      <c r="GM70" s="4" t="n">
        <v>948.3</v>
      </c>
      <c r="GN70" s="4" t="n">
        <v>3551.2</v>
      </c>
      <c r="GO70" s="4" t="n">
        <v>-1115.1</v>
      </c>
      <c r="HG70" s="4" t="n">
        <v>7.1</v>
      </c>
      <c r="HT70" s="4" t="n">
        <v>13459.4</v>
      </c>
      <c r="HW70" s="4" t="n">
        <v>314</v>
      </c>
      <c r="HY70" s="4" t="n">
        <v>1073.9</v>
      </c>
      <c r="IH70" s="4" t="n">
        <v>13</v>
      </c>
      <c r="JV70" s="4" t="n">
        <v>0</v>
      </c>
      <c r="KM70" s="4" t="n">
        <v>8.9</v>
      </c>
      <c r="KN70" s="4" t="n">
        <v>5.9</v>
      </c>
      <c r="KS70" s="4" t="n">
        <v>0</v>
      </c>
      <c r="KT70" s="4" t="n">
        <v>1505.6</v>
      </c>
      <c r="LE70" s="4" t="n">
        <v>3.9</v>
      </c>
      <c r="LQ70" s="4" t="n">
        <v>69.3</v>
      </c>
      <c r="LX70" s="5" t="n">
        <f aca="false">SUM(B70:LW70)</f>
        <v>314922.9</v>
      </c>
    </row>
    <row r="71" customFormat="false" ht="15" hidden="false" customHeight="false" outlineLevel="0" collapsed="false">
      <c r="A71" s="3" t="s">
        <v>83</v>
      </c>
      <c r="GP71" s="4" t="n">
        <v>32454</v>
      </c>
      <c r="GQ71" s="4" t="n">
        <v>14697.1</v>
      </c>
      <c r="HT71" s="4" t="n">
        <v>71</v>
      </c>
      <c r="KU71" s="4" t="n">
        <v>6</v>
      </c>
      <c r="LX71" s="5" t="n">
        <f aca="false">SUM(B71:LW71)</f>
        <v>47228.1</v>
      </c>
    </row>
    <row r="72" customFormat="false" ht="15" hidden="false" customHeight="false" outlineLevel="0" collapsed="false">
      <c r="A72" s="3" t="s">
        <v>84</v>
      </c>
      <c r="GR72" s="4" t="n">
        <v>39873.6</v>
      </c>
      <c r="GT72" s="4" t="n">
        <v>44267.4</v>
      </c>
      <c r="GV72" s="4" t="n">
        <v>2758.8</v>
      </c>
      <c r="GW72" s="4" t="n">
        <v>11332.9</v>
      </c>
      <c r="GZ72" s="4" t="n">
        <v>7.9</v>
      </c>
      <c r="HJ72" s="4" t="n">
        <v>236.5</v>
      </c>
      <c r="HT72" s="4" t="n">
        <v>158.9</v>
      </c>
      <c r="IB72" s="4" t="n">
        <v>50</v>
      </c>
      <c r="KV72" s="4" t="n">
        <v>23637.6</v>
      </c>
      <c r="KW72" s="4" t="n">
        <v>199</v>
      </c>
      <c r="KY72" s="4" t="n">
        <v>0.1</v>
      </c>
      <c r="LH72" s="4" t="n">
        <v>22.3</v>
      </c>
      <c r="LX72" s="5" t="n">
        <f aca="false">SUM(B72:LW72)</f>
        <v>122545</v>
      </c>
    </row>
    <row r="73" customFormat="false" ht="15" hidden="false" customHeight="false" outlineLevel="0" collapsed="false">
      <c r="A73" s="3" t="s">
        <v>85</v>
      </c>
      <c r="GU73" s="4" t="n">
        <v>7178.8</v>
      </c>
      <c r="GW73" s="4" t="n">
        <v>1367.6</v>
      </c>
      <c r="KX73" s="4" t="n">
        <v>175.9</v>
      </c>
      <c r="LX73" s="5" t="n">
        <f aca="false">SUM(B73:LW73)</f>
        <v>8722.3</v>
      </c>
    </row>
    <row r="74" customFormat="false" ht="15" hidden="false" customHeight="false" outlineLevel="0" collapsed="false">
      <c r="A74" s="3" t="s">
        <v>86</v>
      </c>
      <c r="GY74" s="4" t="n">
        <v>18662.9</v>
      </c>
      <c r="GZ74" s="4" t="n">
        <v>20196.7</v>
      </c>
      <c r="HI74" s="4" t="n">
        <v>533</v>
      </c>
      <c r="HJ74" s="4" t="n">
        <v>590.1</v>
      </c>
      <c r="HO74" s="4" t="n">
        <v>5462.2</v>
      </c>
      <c r="HR74" s="4" t="n">
        <v>568.6</v>
      </c>
      <c r="HT74" s="4" t="n">
        <v>-1</v>
      </c>
      <c r="HW74" s="4" t="n">
        <v>133</v>
      </c>
      <c r="IH74" s="4" t="n">
        <v>1504.4</v>
      </c>
      <c r="KY74" s="4" t="n">
        <v>132.9</v>
      </c>
      <c r="LG74" s="4" t="n">
        <v>10.8</v>
      </c>
      <c r="LH74" s="4" t="n">
        <v>55.6</v>
      </c>
      <c r="LL74" s="4" t="n">
        <v>607.5</v>
      </c>
      <c r="LM74" s="4" t="n">
        <v>41.1</v>
      </c>
      <c r="LX74" s="5" t="n">
        <f aca="false">SUM(B74:LW74)</f>
        <v>48497.8</v>
      </c>
    </row>
    <row r="75" customFormat="false" ht="15" hidden="false" customHeight="false" outlineLevel="0" collapsed="false">
      <c r="A75" s="3" t="s">
        <v>87</v>
      </c>
      <c r="HA75" s="4" t="n">
        <v>2577.2</v>
      </c>
      <c r="KZ75" s="4" t="n">
        <v>141.1</v>
      </c>
      <c r="LX75" s="5" t="n">
        <f aca="false">SUM(B75:LW75)</f>
        <v>2718.3</v>
      </c>
    </row>
    <row r="76" customFormat="false" ht="15" hidden="false" customHeight="false" outlineLevel="0" collapsed="false">
      <c r="A76" s="3" t="s">
        <v>88</v>
      </c>
      <c r="HB76" s="4" t="n">
        <v>24573.8</v>
      </c>
      <c r="HT76" s="4" t="n">
        <v>373.1</v>
      </c>
      <c r="IA76" s="4" t="n">
        <v>238.6</v>
      </c>
      <c r="IB76" s="4" t="n">
        <v>1</v>
      </c>
      <c r="LA76" s="4" t="n">
        <v>492.5</v>
      </c>
      <c r="LS76" s="4" t="n">
        <v>4.4</v>
      </c>
      <c r="LX76" s="5" t="n">
        <f aca="false">SUM(B76:LW76)</f>
        <v>25683.4</v>
      </c>
    </row>
    <row r="77" customFormat="false" ht="15" hidden="false" customHeight="false" outlineLevel="0" collapsed="false">
      <c r="A77" s="3" t="s">
        <v>89</v>
      </c>
      <c r="HD77" s="4" t="n">
        <v>8610.2</v>
      </c>
      <c r="LB77" s="4" t="n">
        <v>185.3</v>
      </c>
      <c r="LX77" s="5" t="n">
        <f aca="false">SUM(B77:LW77)</f>
        <v>8795.5</v>
      </c>
    </row>
    <row r="78" customFormat="false" ht="15" hidden="false" customHeight="false" outlineLevel="0" collapsed="false">
      <c r="A78" s="3" t="s">
        <v>90</v>
      </c>
      <c r="HE78" s="4" t="n">
        <v>8734</v>
      </c>
      <c r="HT78" s="4" t="n">
        <v>84</v>
      </c>
      <c r="LC78" s="4" t="n">
        <v>160.9</v>
      </c>
      <c r="LX78" s="5" t="n">
        <f aca="false">SUM(B78:LW78)</f>
        <v>8978.9</v>
      </c>
    </row>
    <row r="79" customFormat="false" ht="15" hidden="false" customHeight="false" outlineLevel="0" collapsed="false">
      <c r="A79" s="3" t="s">
        <v>91</v>
      </c>
      <c r="GR79" s="4" t="n">
        <v>166.4</v>
      </c>
      <c r="HF79" s="4" t="n">
        <v>32108.8</v>
      </c>
      <c r="HT79" s="4" t="n">
        <v>1524.4</v>
      </c>
      <c r="HX79" s="4" t="n">
        <v>367.4</v>
      </c>
      <c r="IB79" s="4" t="n">
        <v>2496.6</v>
      </c>
      <c r="IG79" s="4" t="n">
        <v>283.1</v>
      </c>
      <c r="KV79" s="4" t="n">
        <v>98.7</v>
      </c>
      <c r="LD79" s="4" t="n">
        <v>14243</v>
      </c>
      <c r="LP79" s="4" t="n">
        <v>55.7</v>
      </c>
      <c r="LX79" s="5" t="n">
        <f aca="false">SUM(B79:LW79)</f>
        <v>51344.1</v>
      </c>
    </row>
    <row r="80" customFormat="false" ht="15" hidden="false" customHeight="false" outlineLevel="0" collapsed="false">
      <c r="A80" s="3" t="s">
        <v>92</v>
      </c>
      <c r="HG80" s="4" t="n">
        <v>5767.7</v>
      </c>
      <c r="HT80" s="4" t="n">
        <v>293.5</v>
      </c>
      <c r="LE80" s="4" t="n">
        <v>3225.4</v>
      </c>
      <c r="LX80" s="5" t="n">
        <f aca="false">SUM(B80:LW80)</f>
        <v>9286.6</v>
      </c>
    </row>
    <row r="81" customFormat="false" ht="15" hidden="false" customHeight="false" outlineLevel="0" collapsed="false">
      <c r="A81" s="3" t="s">
        <v>93</v>
      </c>
      <c r="HH81" s="4" t="n">
        <v>218232.8</v>
      </c>
      <c r="HI81" s="4" t="n">
        <v>9444.1</v>
      </c>
      <c r="HJ81" s="4" t="n">
        <v>3.7</v>
      </c>
      <c r="IH81" s="4" t="n">
        <v>817.5</v>
      </c>
      <c r="LF81" s="4" t="n">
        <v>1</v>
      </c>
      <c r="LG81" s="4" t="n">
        <v>191.2</v>
      </c>
      <c r="LH81" s="4" t="n">
        <v>0.3</v>
      </c>
      <c r="LX81" s="5" t="n">
        <f aca="false">SUM(B81:LW81)</f>
        <v>228690.6</v>
      </c>
    </row>
    <row r="82" customFormat="false" ht="15" hidden="false" customHeight="false" outlineLevel="0" collapsed="false">
      <c r="A82" s="3" t="s">
        <v>94</v>
      </c>
      <c r="FA82" s="4" t="n">
        <v>84</v>
      </c>
      <c r="GY82" s="4" t="n">
        <v>617.4</v>
      </c>
      <c r="HJ82" s="4" t="n">
        <v>163376.4</v>
      </c>
      <c r="HR82" s="4" t="n">
        <v>240.7</v>
      </c>
      <c r="HS82" s="4" t="n">
        <v>2921.3</v>
      </c>
      <c r="HT82" s="4" t="n">
        <v>448.3</v>
      </c>
      <c r="HU82" s="4" t="n">
        <v>31.8</v>
      </c>
      <c r="IB82" s="4" t="n">
        <v>177.1</v>
      </c>
      <c r="IH82" s="4" t="n">
        <v>17409</v>
      </c>
      <c r="JV82" s="4" t="n">
        <v>0</v>
      </c>
      <c r="LH82" s="4" t="n">
        <v>15397</v>
      </c>
      <c r="LM82" s="4" t="n">
        <v>17.4</v>
      </c>
      <c r="LN82" s="4" t="n">
        <v>190.5</v>
      </c>
      <c r="LO82" s="4" t="n">
        <v>0.3</v>
      </c>
      <c r="LX82" s="5" t="n">
        <f aca="false">SUM(B82:LW82)</f>
        <v>200911.2</v>
      </c>
    </row>
    <row r="83" customFormat="false" ht="15" hidden="false" customHeight="false" outlineLevel="0" collapsed="false">
      <c r="A83" s="3" t="s">
        <v>95</v>
      </c>
      <c r="HM83" s="4" t="n">
        <v>15.3</v>
      </c>
      <c r="IB83" s="4" t="n">
        <v>5</v>
      </c>
      <c r="LI83" s="4" t="n">
        <v>1183.4</v>
      </c>
      <c r="LJ83" s="4" t="n">
        <v>2.8</v>
      </c>
      <c r="LX83" s="5" t="n">
        <f aca="false">SUM(B83:LW83)</f>
        <v>1206.5</v>
      </c>
    </row>
    <row r="84" customFormat="false" ht="15" hidden="false" customHeight="false" outlineLevel="0" collapsed="false">
      <c r="A84" s="3" t="s">
        <v>96</v>
      </c>
      <c r="HM84" s="4" t="n">
        <v>50308.9</v>
      </c>
      <c r="HT84" s="4" t="n">
        <v>2248.5</v>
      </c>
      <c r="LJ84" s="4" t="n">
        <v>9121.9</v>
      </c>
      <c r="LX84" s="5" t="n">
        <f aca="false">SUM(B84:LW84)</f>
        <v>61679.3</v>
      </c>
    </row>
    <row r="85" customFormat="false" ht="15" hidden="false" customHeight="false" outlineLevel="0" collapsed="false">
      <c r="A85" s="3" t="s">
        <v>97</v>
      </c>
      <c r="HT85" s="4" t="n">
        <v>45</v>
      </c>
      <c r="LK85" s="4" t="n">
        <v>1727.8</v>
      </c>
      <c r="LX85" s="5" t="n">
        <f aca="false">SUM(B85:LW85)</f>
        <v>1772.8</v>
      </c>
    </row>
    <row r="86" customFormat="false" ht="15" hidden="false" customHeight="false" outlineLevel="0" collapsed="false">
      <c r="A86" s="3" t="s">
        <v>98</v>
      </c>
      <c r="GY86" s="4" t="n">
        <v>5588.7</v>
      </c>
      <c r="HI86" s="4" t="n">
        <v>57.9</v>
      </c>
      <c r="HJ86" s="4" t="n">
        <v>951.1</v>
      </c>
      <c r="HL86" s="4" t="n">
        <v>6281.2</v>
      </c>
      <c r="HO86" s="4" t="n">
        <v>6040.6</v>
      </c>
      <c r="HR86" s="4" t="n">
        <v>0.9</v>
      </c>
      <c r="HT86" s="4" t="n">
        <v>34</v>
      </c>
      <c r="HU86" s="4" t="n">
        <v>25.8</v>
      </c>
      <c r="IB86" s="4" t="n">
        <v>89.1</v>
      </c>
      <c r="IH86" s="4" t="n">
        <v>27</v>
      </c>
      <c r="LG86" s="4" t="n">
        <v>1.2</v>
      </c>
      <c r="LH86" s="4" t="n">
        <v>89.6</v>
      </c>
      <c r="LL86" s="4" t="n">
        <v>671.9</v>
      </c>
      <c r="LM86" s="4" t="n">
        <v>0.1</v>
      </c>
      <c r="LO86" s="4" t="n">
        <v>0.2</v>
      </c>
      <c r="LX86" s="5" t="n">
        <f aca="false">SUM(B86:LW86)</f>
        <v>19859.3</v>
      </c>
    </row>
    <row r="87" customFormat="false" ht="15" hidden="false" customHeight="false" outlineLevel="0" collapsed="false">
      <c r="A87" s="3" t="s">
        <v>99</v>
      </c>
      <c r="HJ87" s="4" t="n">
        <v>765.5</v>
      </c>
      <c r="HP87" s="4" t="n">
        <v>190344.2</v>
      </c>
      <c r="HT87" s="4" t="n">
        <v>959.7</v>
      </c>
      <c r="IB87" s="4" t="n">
        <v>2844</v>
      </c>
      <c r="LH87" s="4" t="n">
        <v>72.1</v>
      </c>
      <c r="LX87" s="5" t="n">
        <f aca="false">SUM(B87:LW87)</f>
        <v>194985.5</v>
      </c>
    </row>
    <row r="88" customFormat="false" ht="15" hidden="false" customHeight="false" outlineLevel="0" collapsed="false">
      <c r="A88" s="3" t="s">
        <v>100</v>
      </c>
      <c r="GO88" s="4" t="n">
        <v>-345.6</v>
      </c>
      <c r="HQ88" s="4" t="n">
        <v>39677.4</v>
      </c>
      <c r="HR88" s="4" t="n">
        <v>4129.5</v>
      </c>
      <c r="HT88" s="4" t="n">
        <v>296.2</v>
      </c>
      <c r="IB88" s="4" t="n">
        <v>6182.7</v>
      </c>
      <c r="IH88" s="4" t="n">
        <v>2</v>
      </c>
      <c r="KT88" s="4" t="n">
        <v>467.2</v>
      </c>
      <c r="LM88" s="4" t="n">
        <v>298.8</v>
      </c>
      <c r="LX88" s="5" t="n">
        <f aca="false">SUM(B88:LW88)</f>
        <v>50708.2</v>
      </c>
    </row>
    <row r="89" customFormat="false" ht="15" hidden="false" customHeight="false" outlineLevel="0" collapsed="false">
      <c r="A89" s="3" t="s">
        <v>101</v>
      </c>
      <c r="FG89" s="4" t="n">
        <v>1141.2</v>
      </c>
      <c r="HI89" s="4" t="n">
        <v>45.3</v>
      </c>
      <c r="HJ89" s="4" t="n">
        <v>1750.9</v>
      </c>
      <c r="HP89" s="4" t="n">
        <v>84.3</v>
      </c>
      <c r="HR89" s="4" t="n">
        <v>788454.2</v>
      </c>
      <c r="HT89" s="4" t="n">
        <v>3511.7</v>
      </c>
      <c r="HW89" s="4" t="n">
        <v>339.2</v>
      </c>
      <c r="HX89" s="4" t="n">
        <v>166.4</v>
      </c>
      <c r="IB89" s="4" t="n">
        <v>2052.4</v>
      </c>
      <c r="IH89" s="4" t="n">
        <v>7951.7</v>
      </c>
      <c r="KA89" s="4" t="n">
        <v>783.7</v>
      </c>
      <c r="LG89" s="4" t="n">
        <v>0.9</v>
      </c>
      <c r="LH89" s="4" t="n">
        <v>165</v>
      </c>
      <c r="LM89" s="4" t="n">
        <v>57058.1</v>
      </c>
      <c r="LP89" s="4" t="n">
        <v>25.2</v>
      </c>
      <c r="LX89" s="5" t="n">
        <f aca="false">SUM(B89:LW89)</f>
        <v>863530.2</v>
      </c>
    </row>
    <row r="90" customFormat="false" ht="15" hidden="false" customHeight="false" outlineLevel="0" collapsed="false">
      <c r="A90" s="3" t="s">
        <v>102</v>
      </c>
      <c r="EG90" s="4" t="n">
        <v>2</v>
      </c>
      <c r="FH90" s="4" t="n">
        <v>13.1</v>
      </c>
      <c r="FN90" s="4" t="n">
        <v>7.8</v>
      </c>
      <c r="FT90" s="4" t="n">
        <v>5</v>
      </c>
      <c r="GK90" s="4" t="n">
        <v>1</v>
      </c>
      <c r="HB90" s="4" t="n">
        <v>78</v>
      </c>
      <c r="HD90" s="4" t="n">
        <v>5.9</v>
      </c>
      <c r="HF90" s="4" t="n">
        <v>0.7</v>
      </c>
      <c r="HJ90" s="4" t="n">
        <v>20.2</v>
      </c>
      <c r="HM90" s="4" t="n">
        <v>4270.2</v>
      </c>
      <c r="HR90" s="4" t="n">
        <v>1257</v>
      </c>
      <c r="HT90" s="4" t="n">
        <v>1124491.8</v>
      </c>
      <c r="HU90" s="4" t="n">
        <v>3625.3</v>
      </c>
      <c r="HV90" s="4" t="n">
        <v>9.1</v>
      </c>
      <c r="HW90" s="4" t="n">
        <v>8229.6</v>
      </c>
      <c r="HX90" s="4" t="n">
        <v>984.3</v>
      </c>
      <c r="HY90" s="4" t="n">
        <v>11064.5</v>
      </c>
      <c r="IA90" s="4" t="n">
        <v>3</v>
      </c>
      <c r="IB90" s="4" t="n">
        <v>3022.1</v>
      </c>
      <c r="IF90" s="4" t="n">
        <v>1</v>
      </c>
      <c r="IG90" s="4" t="n">
        <v>662.4</v>
      </c>
      <c r="IH90" s="4" t="n">
        <v>2374.8</v>
      </c>
      <c r="KB90" s="4" t="n">
        <v>0</v>
      </c>
      <c r="KF90" s="4" t="n">
        <v>0.3</v>
      </c>
      <c r="LA90" s="4" t="n">
        <v>1.6</v>
      </c>
      <c r="LB90" s="4" t="n">
        <v>0.1</v>
      </c>
      <c r="LD90" s="4" t="n">
        <v>0.3</v>
      </c>
      <c r="LH90" s="4" t="n">
        <v>1.9</v>
      </c>
      <c r="LI90" s="4" t="n">
        <v>34.2</v>
      </c>
      <c r="LJ90" s="4" t="n">
        <v>774.3</v>
      </c>
      <c r="LM90" s="4" t="n">
        <v>91</v>
      </c>
      <c r="LO90" s="4" t="n">
        <v>29.9</v>
      </c>
      <c r="LP90" s="4" t="n">
        <v>149.3</v>
      </c>
      <c r="LQ90" s="4" t="n">
        <v>713.6</v>
      </c>
      <c r="LS90" s="4" t="n">
        <v>0.1</v>
      </c>
      <c r="LX90" s="5" t="n">
        <f aca="false">SUM(B90:LW90)</f>
        <v>1161925.4</v>
      </c>
    </row>
    <row r="91" customFormat="false" ht="15" hidden="false" customHeight="false" outlineLevel="0" collapsed="false">
      <c r="A91" s="3" t="s">
        <v>103</v>
      </c>
      <c r="FG91" s="4" t="n">
        <v>0.6</v>
      </c>
      <c r="FL91" s="4" t="n">
        <v>39.3</v>
      </c>
      <c r="FT91" s="4" t="n">
        <v>1535.2</v>
      </c>
      <c r="FZ91" s="4" t="n">
        <v>1057</v>
      </c>
      <c r="GC91" s="4" t="n">
        <v>254.7</v>
      </c>
      <c r="GD91" s="4" t="n">
        <v>1</v>
      </c>
      <c r="GF91" s="4" t="n">
        <v>1738.6</v>
      </c>
      <c r="GG91" s="4" t="n">
        <v>11.2</v>
      </c>
      <c r="GJ91" s="4" t="n">
        <v>9.1</v>
      </c>
      <c r="GN91" s="4" t="n">
        <v>415.8</v>
      </c>
      <c r="HE91" s="4" t="n">
        <v>106.8</v>
      </c>
      <c r="HF91" s="4" t="n">
        <v>410.7</v>
      </c>
      <c r="HJ91" s="4" t="n">
        <v>239.2</v>
      </c>
      <c r="HT91" s="4" t="n">
        <v>-64.6</v>
      </c>
      <c r="HU91" s="4" t="n">
        <v>86551.5</v>
      </c>
      <c r="HW91" s="4" t="n">
        <v>1643.9</v>
      </c>
      <c r="HX91" s="4" t="n">
        <v>55.1</v>
      </c>
      <c r="IH91" s="4" t="n">
        <v>1985.2</v>
      </c>
      <c r="KA91" s="4" t="n">
        <v>0.4</v>
      </c>
      <c r="KN91" s="4" t="n">
        <v>0</v>
      </c>
      <c r="KP91" s="4" t="n">
        <v>6.9</v>
      </c>
      <c r="LC91" s="4" t="n">
        <v>2</v>
      </c>
      <c r="LD91" s="4" t="n">
        <v>182.2</v>
      </c>
      <c r="LH91" s="4" t="n">
        <v>22.5</v>
      </c>
      <c r="LI91" s="4" t="n">
        <v>264.8</v>
      </c>
      <c r="LO91" s="4" t="n">
        <v>714.7</v>
      </c>
      <c r="LP91" s="4" t="n">
        <v>8.4</v>
      </c>
      <c r="LX91" s="5" t="n">
        <f aca="false">SUM(B91:LW91)</f>
        <v>97192.2</v>
      </c>
    </row>
    <row r="92" customFormat="false" ht="15" hidden="false" customHeight="false" outlineLevel="0" collapsed="false">
      <c r="A92" s="3" t="s">
        <v>104</v>
      </c>
      <c r="GO92" s="4" t="n">
        <v>-28.5</v>
      </c>
      <c r="HT92" s="4" t="n">
        <v>47.1</v>
      </c>
      <c r="HV92" s="4" t="n">
        <v>19704.4</v>
      </c>
      <c r="HW92" s="4" t="n">
        <v>1178.8</v>
      </c>
      <c r="IB92" s="4" t="n">
        <v>5</v>
      </c>
      <c r="KT92" s="4" t="n">
        <v>38.7</v>
      </c>
      <c r="LX92" s="5" t="n">
        <f aca="false">SUM(B92:LW92)</f>
        <v>20945.5</v>
      </c>
    </row>
    <row r="93" customFormat="false" ht="15" hidden="false" customHeight="false" outlineLevel="0" collapsed="false">
      <c r="A93" s="3" t="s">
        <v>105</v>
      </c>
      <c r="DL93" s="4" t="n">
        <v>227.6</v>
      </c>
      <c r="DM93" s="4" t="n">
        <v>19.5</v>
      </c>
      <c r="FH93" s="4" t="n">
        <v>1467.9</v>
      </c>
      <c r="FI93" s="4" t="n">
        <v>37.1</v>
      </c>
      <c r="FK93" s="4" t="n">
        <v>65.8</v>
      </c>
      <c r="FN93" s="4" t="n">
        <v>61.9</v>
      </c>
      <c r="GB93" s="4" t="n">
        <v>5464.2</v>
      </c>
      <c r="GE93" s="4" t="n">
        <v>696.4</v>
      </c>
      <c r="GH93" s="4" t="n">
        <v>58.8</v>
      </c>
      <c r="GI93" s="4" t="n">
        <v>422.5</v>
      </c>
      <c r="GJ93" s="4" t="n">
        <v>28.2</v>
      </c>
      <c r="GK93" s="4" t="n">
        <v>34340.8</v>
      </c>
      <c r="GL93" s="4" t="n">
        <v>8838.6</v>
      </c>
      <c r="GM93" s="4" t="n">
        <v>139.2</v>
      </c>
      <c r="GN93" s="4" t="n">
        <v>521.3</v>
      </c>
      <c r="GO93" s="4" t="n">
        <v>-162.1</v>
      </c>
      <c r="HE93" s="4" t="n">
        <v>103.6</v>
      </c>
      <c r="HF93" s="4" t="n">
        <v>69.6</v>
      </c>
      <c r="HG93" s="4" t="n">
        <v>0.6</v>
      </c>
      <c r="HR93" s="4" t="n">
        <v>314.9</v>
      </c>
      <c r="HT93" s="4" t="n">
        <v>1177.9</v>
      </c>
      <c r="HU93" s="4" t="n">
        <v>2446.1</v>
      </c>
      <c r="HV93" s="4" t="n">
        <v>5</v>
      </c>
      <c r="HW93" s="4" t="n">
        <v>330045.2</v>
      </c>
      <c r="IB93" s="4" t="n">
        <v>80.4</v>
      </c>
      <c r="IU93" s="4" t="n">
        <v>2</v>
      </c>
      <c r="IV93" s="4" t="n">
        <v>0.2</v>
      </c>
      <c r="KB93" s="4" t="n">
        <v>0.2</v>
      </c>
      <c r="KC93" s="4" t="n">
        <v>0.3</v>
      </c>
      <c r="KD93" s="4" t="n">
        <v>0.6</v>
      </c>
      <c r="KF93" s="4" t="n">
        <v>2.4</v>
      </c>
      <c r="KO93" s="4" t="n">
        <v>10.1</v>
      </c>
      <c r="KQ93" s="4" t="n">
        <v>0.5</v>
      </c>
      <c r="KR93" s="4" t="n">
        <v>3.5</v>
      </c>
      <c r="KS93" s="4" t="n">
        <v>0</v>
      </c>
      <c r="KT93" s="4" t="n">
        <v>221</v>
      </c>
      <c r="LC93" s="4" t="n">
        <v>1.9</v>
      </c>
      <c r="LD93" s="4" t="n">
        <v>30.9</v>
      </c>
      <c r="LE93" s="4" t="n">
        <v>0.4</v>
      </c>
      <c r="LI93" s="4" t="n">
        <v>476.4</v>
      </c>
      <c r="LM93" s="4" t="n">
        <v>22.8</v>
      </c>
      <c r="LO93" s="4" t="n">
        <v>20.2</v>
      </c>
      <c r="LX93" s="5" t="n">
        <f aca="false">SUM(B93:LW93)</f>
        <v>387264.4</v>
      </c>
    </row>
    <row r="94" customFormat="false" ht="15" hidden="false" customHeight="false" outlineLevel="0" collapsed="false">
      <c r="A94" s="3" t="s">
        <v>106</v>
      </c>
      <c r="GD94" s="4" t="n">
        <v>392.9</v>
      </c>
      <c r="HO94" s="4" t="n">
        <v>34.3</v>
      </c>
      <c r="HR94" s="4" t="n">
        <v>36.5</v>
      </c>
      <c r="HT94" s="4" t="n">
        <v>1650.9</v>
      </c>
      <c r="HU94" s="4" t="n">
        <v>8</v>
      </c>
      <c r="HX94" s="4" t="n">
        <v>260062.3</v>
      </c>
      <c r="IB94" s="4" t="n">
        <v>31.1</v>
      </c>
      <c r="KN94" s="4" t="n">
        <v>5.3</v>
      </c>
      <c r="LL94" s="4" t="n">
        <v>3.8</v>
      </c>
      <c r="LM94" s="4" t="n">
        <v>2.6</v>
      </c>
      <c r="LO94" s="4" t="n">
        <v>0.1</v>
      </c>
      <c r="LP94" s="4" t="n">
        <v>39441.4</v>
      </c>
      <c r="LX94" s="5" t="n">
        <f aca="false">SUM(B94:LW94)</f>
        <v>301669.2</v>
      </c>
    </row>
    <row r="95" customFormat="false" ht="15" hidden="false" customHeight="false" outlineLevel="0" collapsed="false">
      <c r="A95" s="3" t="s">
        <v>107</v>
      </c>
      <c r="HT95" s="4" t="n">
        <v>8053.4</v>
      </c>
      <c r="HY95" s="4" t="n">
        <v>379690.2</v>
      </c>
      <c r="LQ95" s="4" t="n">
        <v>24489.4</v>
      </c>
      <c r="LX95" s="5" t="n">
        <f aca="false">SUM(B95:LW95)</f>
        <v>412233</v>
      </c>
    </row>
    <row r="96" customFormat="false" ht="15" hidden="false" customHeight="false" outlineLevel="0" collapsed="false">
      <c r="A96" s="3" t="s">
        <v>108</v>
      </c>
      <c r="HT96" s="4" t="n">
        <v>9851.3</v>
      </c>
      <c r="HZ96" s="4" t="n">
        <v>228044.5</v>
      </c>
      <c r="IA96" s="4" t="n">
        <v>412.2</v>
      </c>
      <c r="LR96" s="4" t="n">
        <v>55206.5</v>
      </c>
      <c r="LS96" s="4" t="n">
        <v>7.6</v>
      </c>
      <c r="LX96" s="5" t="n">
        <f aca="false">SUM(B96:LW96)</f>
        <v>293522.1</v>
      </c>
    </row>
    <row r="97" customFormat="false" ht="15" hidden="false" customHeight="false" outlineLevel="0" collapsed="false">
      <c r="A97" s="3" t="s">
        <v>109</v>
      </c>
      <c r="HR97" s="4" t="n">
        <v>9783.5</v>
      </c>
      <c r="HT97" s="4" t="n">
        <v>21.2</v>
      </c>
      <c r="IA97" s="4" t="n">
        <v>475276</v>
      </c>
      <c r="LM97" s="4" t="n">
        <v>708</v>
      </c>
      <c r="LS97" s="4" t="n">
        <v>8765.3</v>
      </c>
      <c r="LX97" s="5" t="n">
        <f aca="false">SUM(B97:LW97)</f>
        <v>494554</v>
      </c>
    </row>
    <row r="98" customFormat="false" ht="15" hidden="false" customHeight="false" outlineLevel="0" collapsed="false">
      <c r="A98" s="3" t="s">
        <v>110</v>
      </c>
      <c r="HM98" s="4" t="n">
        <v>383.1</v>
      </c>
      <c r="HR98" s="4" t="n">
        <v>73</v>
      </c>
      <c r="HT98" s="4" t="n">
        <v>-609.9</v>
      </c>
      <c r="HX98" s="4" t="n">
        <v>19.2</v>
      </c>
      <c r="IB98" s="4" t="n">
        <v>238188.2</v>
      </c>
      <c r="IF98" s="4" t="n">
        <v>59.2</v>
      </c>
      <c r="IH98" s="4" t="n">
        <v>10</v>
      </c>
      <c r="LI98" s="4" t="n">
        <v>59.2</v>
      </c>
      <c r="LJ98" s="4" t="n">
        <v>69.5</v>
      </c>
      <c r="LM98" s="4" t="n">
        <v>5.3</v>
      </c>
      <c r="LP98" s="4" t="n">
        <v>2.9</v>
      </c>
      <c r="LX98" s="5" t="n">
        <f aca="false">SUM(B98:LW98)</f>
        <v>238259.7</v>
      </c>
    </row>
    <row r="99" customFormat="false" ht="15" hidden="false" customHeight="false" outlineLevel="0" collapsed="false">
      <c r="A99" s="3" t="s">
        <v>111</v>
      </c>
      <c r="IC99" s="4" t="n">
        <v>10245.5</v>
      </c>
      <c r="LT99" s="4" t="n">
        <v>291.4</v>
      </c>
      <c r="LX99" s="5" t="n">
        <f aca="false">SUM(B99:LW99)</f>
        <v>10536.9</v>
      </c>
    </row>
    <row r="100" customFormat="false" ht="15" hidden="false" customHeight="false" outlineLevel="0" collapsed="false">
      <c r="A100" s="3" t="s">
        <v>112</v>
      </c>
      <c r="ID100" s="4" t="n">
        <v>10086.5</v>
      </c>
      <c r="LX100" s="5" t="n">
        <f aca="false">SUM(B100:LW100)</f>
        <v>10086.5</v>
      </c>
    </row>
    <row r="101" customFormat="false" ht="15" hidden="false" customHeight="false" outlineLevel="0" collapsed="false">
      <c r="A101" s="3" t="s">
        <v>113</v>
      </c>
      <c r="IE101" s="4" t="n">
        <v>1043188.5</v>
      </c>
      <c r="LX101" s="5" t="n">
        <f aca="false">SUM(B101:LW101)</f>
        <v>1043188.5</v>
      </c>
    </row>
    <row r="102" customFormat="false" ht="15" hidden="false" customHeight="false" outlineLevel="0" collapsed="false">
      <c r="A102" s="3" t="s">
        <v>114</v>
      </c>
      <c r="GR102" s="4" t="n">
        <v>5.7</v>
      </c>
      <c r="HT102" s="4" t="n">
        <v>9</v>
      </c>
      <c r="HV102" s="4" t="n">
        <v>3</v>
      </c>
      <c r="IB102" s="4" t="n">
        <v>26</v>
      </c>
      <c r="IF102" s="4" t="n">
        <v>535612.9</v>
      </c>
      <c r="IH102" s="4" t="n">
        <v>131.2</v>
      </c>
      <c r="KV102" s="4" t="n">
        <v>3.4</v>
      </c>
      <c r="LX102" s="5" t="n">
        <f aca="false">SUM(B102:LW102)</f>
        <v>535791.2</v>
      </c>
    </row>
    <row r="103" customFormat="false" ht="15" hidden="false" customHeight="false" outlineLevel="0" collapsed="false">
      <c r="A103" s="3" t="s">
        <v>115</v>
      </c>
      <c r="HD103" s="4" t="n">
        <v>1282.9</v>
      </c>
      <c r="HT103" s="4" t="n">
        <v>54.1</v>
      </c>
      <c r="HU103" s="4" t="n">
        <v>51.6</v>
      </c>
      <c r="HY103" s="4" t="n">
        <v>626.4</v>
      </c>
      <c r="IB103" s="4" t="n">
        <v>11</v>
      </c>
      <c r="IG103" s="4" t="n">
        <v>234791.3</v>
      </c>
      <c r="IH103" s="4" t="n">
        <v>1386.6</v>
      </c>
      <c r="LB103" s="4" t="n">
        <v>27.6</v>
      </c>
      <c r="LO103" s="4" t="n">
        <v>0.4</v>
      </c>
      <c r="LQ103" s="4" t="n">
        <v>40.4</v>
      </c>
      <c r="LX103" s="5" t="n">
        <f aca="false">SUM(B103:LW103)</f>
        <v>238272.3</v>
      </c>
    </row>
    <row r="104" customFormat="false" ht="15" hidden="false" customHeight="false" outlineLevel="0" collapsed="false">
      <c r="A104" s="3" t="s">
        <v>116</v>
      </c>
      <c r="GR104" s="4" t="n">
        <v>973.1</v>
      </c>
      <c r="GT104" s="4" t="n">
        <v>31507.9</v>
      </c>
      <c r="GV104" s="4" t="n">
        <v>42.2</v>
      </c>
      <c r="GW104" s="4" t="n">
        <v>42.2</v>
      </c>
      <c r="HE104" s="4" t="n">
        <v>2629.1</v>
      </c>
      <c r="HF104" s="4" t="n">
        <v>9.8</v>
      </c>
      <c r="HG104" s="4" t="n">
        <v>10.3</v>
      </c>
      <c r="HL104" s="4" t="n">
        <v>717.2</v>
      </c>
      <c r="HM104" s="4" t="n">
        <v>1416</v>
      </c>
      <c r="HT104" s="4" t="n">
        <v>900.2</v>
      </c>
      <c r="HU104" s="4" t="n">
        <v>2221.6</v>
      </c>
      <c r="HW104" s="4" t="n">
        <v>5545.2</v>
      </c>
      <c r="HY104" s="4" t="n">
        <v>2483.2</v>
      </c>
      <c r="IG104" s="4" t="n">
        <v>731.2</v>
      </c>
      <c r="IH104" s="4" t="n">
        <v>411679.1</v>
      </c>
      <c r="KV104" s="4" t="n">
        <v>576.9</v>
      </c>
      <c r="KW104" s="4" t="n">
        <v>141.6</v>
      </c>
      <c r="LC104" s="4" t="n">
        <v>48.4</v>
      </c>
      <c r="LD104" s="4" t="n">
        <v>4.3</v>
      </c>
      <c r="LE104" s="4" t="n">
        <v>5.8</v>
      </c>
      <c r="LI104" s="4" t="n">
        <v>193.1</v>
      </c>
      <c r="LJ104" s="4" t="n">
        <v>256.7</v>
      </c>
      <c r="LO104" s="4" t="n">
        <v>18.3</v>
      </c>
      <c r="LQ104" s="4" t="n">
        <v>160.2</v>
      </c>
      <c r="LX104" s="5" t="n">
        <f aca="false">SUM(B104:LW104)</f>
        <v>462313.6</v>
      </c>
    </row>
    <row r="105" customFormat="false" ht="15" hidden="false" customHeight="false" outlineLevel="0" collapsed="false">
      <c r="A105" s="3" t="s">
        <v>117</v>
      </c>
      <c r="F105" s="4" t="n">
        <v>28701</v>
      </c>
      <c r="G105" s="4" t="n">
        <v>2091.3</v>
      </c>
      <c r="H105" s="4" t="n">
        <v>52312.8</v>
      </c>
      <c r="I105" s="4" t="n">
        <v>66905.8</v>
      </c>
      <c r="Q105" s="4" t="n">
        <v>8839.8</v>
      </c>
      <c r="AW105" s="4" t="n">
        <v>1455.9</v>
      </c>
      <c r="BJ105" s="4" t="n">
        <v>57</v>
      </c>
      <c r="BK105" s="4" t="n">
        <v>1491.8</v>
      </c>
      <c r="BO105" s="4" t="n">
        <v>1950.2</v>
      </c>
      <c r="BQ105" s="4" t="n">
        <v>215.6</v>
      </c>
      <c r="BR105" s="4" t="n">
        <v>18395</v>
      </c>
      <c r="CO105" s="4" t="n">
        <v>1161.1</v>
      </c>
      <c r="CX105" s="4" t="n">
        <v>1029.7</v>
      </c>
      <c r="CY105" s="4" t="n">
        <v>77.8</v>
      </c>
      <c r="LV105" s="4" t="n">
        <v>94576.8</v>
      </c>
      <c r="LW105" s="4" t="n">
        <v>-8531.3</v>
      </c>
      <c r="LX105" s="5" t="n">
        <f aca="false">SUM(B105:LW105)</f>
        <v>270730.3</v>
      </c>
    </row>
    <row r="106" customFormat="false" ht="15" hidden="false" customHeight="false" outlineLevel="0" collapsed="false">
      <c r="A106" s="3" t="s">
        <v>118</v>
      </c>
      <c r="F106" s="4" t="n">
        <v>334.3</v>
      </c>
      <c r="G106" s="4" t="n">
        <v>24.4</v>
      </c>
      <c r="H106" s="4" t="n">
        <v>609.3</v>
      </c>
      <c r="I106" s="4" t="n">
        <v>779.3</v>
      </c>
      <c r="R106" s="4" t="n">
        <v>97.7</v>
      </c>
      <c r="BK106" s="4" t="n">
        <v>17.4</v>
      </c>
      <c r="BO106" s="4" t="n">
        <v>22.7</v>
      </c>
      <c r="BQ106" s="4" t="n">
        <v>2.5</v>
      </c>
      <c r="CO106" s="4" t="n">
        <v>13.5</v>
      </c>
      <c r="CX106" s="4" t="n">
        <v>12</v>
      </c>
      <c r="CY106" s="4" t="n">
        <v>0.9</v>
      </c>
      <c r="LV106" s="4" t="n">
        <v>1338.7</v>
      </c>
      <c r="LW106" s="4" t="n">
        <v>-99.4</v>
      </c>
      <c r="LX106" s="5" t="n">
        <f aca="false">SUM(B106:LW106)</f>
        <v>3153.3</v>
      </c>
    </row>
    <row r="107" customFormat="false" ht="15" hidden="false" customHeight="false" outlineLevel="0" collapsed="false">
      <c r="A107" s="3" t="s">
        <v>119</v>
      </c>
      <c r="F107" s="4" t="n">
        <v>3173.6</v>
      </c>
      <c r="G107" s="4" t="n">
        <v>231.2</v>
      </c>
      <c r="H107" s="4" t="n">
        <v>5784.4</v>
      </c>
      <c r="I107" s="4" t="n">
        <v>7398</v>
      </c>
      <c r="S107" s="4" t="n">
        <v>868.1</v>
      </c>
      <c r="BJ107" s="4" t="n">
        <v>5180.2</v>
      </c>
      <c r="BK107" s="4" t="n">
        <v>158.5</v>
      </c>
      <c r="BO107" s="4" t="n">
        <v>207.1</v>
      </c>
      <c r="BQ107" s="4" t="n">
        <v>22.9</v>
      </c>
      <c r="CO107" s="4" t="n">
        <v>123.4</v>
      </c>
      <c r="CX107" s="4" t="n">
        <v>109.4</v>
      </c>
      <c r="CY107" s="4" t="n">
        <v>11.3</v>
      </c>
      <c r="LV107" s="4" t="n">
        <v>11507.9</v>
      </c>
      <c r="LW107" s="4" t="n">
        <v>-7311.1</v>
      </c>
      <c r="LX107" s="5" t="n">
        <f aca="false">SUM(B107:LW107)</f>
        <v>27464.9</v>
      </c>
    </row>
    <row r="108" customFormat="false" ht="15" hidden="false" customHeight="false" outlineLevel="0" collapsed="false">
      <c r="A108" s="3" t="s">
        <v>120</v>
      </c>
      <c r="F108" s="4" t="n">
        <v>4014.6</v>
      </c>
      <c r="G108" s="4" t="n">
        <v>292.5</v>
      </c>
      <c r="H108" s="4" t="n">
        <v>7317.4</v>
      </c>
      <c r="I108" s="4" t="n">
        <v>9358.6</v>
      </c>
      <c r="T108" s="4" t="n">
        <v>1147.1</v>
      </c>
      <c r="BJ108" s="4" t="n">
        <v>14559.4</v>
      </c>
      <c r="BK108" s="4" t="n">
        <v>200.6</v>
      </c>
      <c r="BO108" s="4" t="n">
        <v>262</v>
      </c>
      <c r="BQ108" s="4" t="n">
        <v>29</v>
      </c>
      <c r="CO108" s="4" t="n">
        <v>156.1</v>
      </c>
      <c r="CX108" s="4" t="n">
        <v>138.4</v>
      </c>
      <c r="CY108" s="4" t="n">
        <v>14.3</v>
      </c>
      <c r="LV108" s="4" t="n">
        <v>6502.5</v>
      </c>
      <c r="LW108" s="4" t="n">
        <v>-9248.7</v>
      </c>
      <c r="LX108" s="5" t="n">
        <f aca="false">SUM(B108:LW108)</f>
        <v>34743.8</v>
      </c>
    </row>
    <row r="109" customFormat="false" ht="15" hidden="false" customHeight="false" outlineLevel="0" collapsed="false">
      <c r="A109" s="3" t="s">
        <v>121</v>
      </c>
      <c r="F109" s="4" t="n">
        <v>31923.4</v>
      </c>
      <c r="G109" s="4" t="n">
        <v>2326.2</v>
      </c>
      <c r="H109" s="4" t="n">
        <v>58186.3</v>
      </c>
      <c r="I109" s="4" t="n">
        <v>74417.8</v>
      </c>
      <c r="U109" s="4" t="n">
        <v>7896.5</v>
      </c>
      <c r="AW109" s="4" t="n">
        <v>963.7</v>
      </c>
      <c r="BK109" s="4" t="n">
        <v>983.3</v>
      </c>
      <c r="BN109" s="4" t="n">
        <v>152.9</v>
      </c>
      <c r="BO109" s="4" t="n">
        <v>1290.9</v>
      </c>
      <c r="BQ109" s="4" t="n">
        <v>142.1</v>
      </c>
      <c r="CO109" s="4" t="n">
        <v>765.3</v>
      </c>
      <c r="CY109" s="4" t="n">
        <v>48.7</v>
      </c>
      <c r="LV109" s="4" t="n">
        <v>69040.9</v>
      </c>
      <c r="LW109" s="4" t="n">
        <v>-126.2</v>
      </c>
      <c r="LX109" s="5" t="n">
        <f aca="false">SUM(B109:LW109)</f>
        <v>248011.8</v>
      </c>
    </row>
    <row r="110" customFormat="false" ht="15" hidden="false" customHeight="false" outlineLevel="0" collapsed="false">
      <c r="A110" s="3" t="s">
        <v>122</v>
      </c>
      <c r="F110" s="4" t="n">
        <v>34270</v>
      </c>
      <c r="G110" s="4" t="n">
        <v>2497.1</v>
      </c>
      <c r="H110" s="4" t="n">
        <v>62463.3</v>
      </c>
      <c r="I110" s="4" t="n">
        <v>79887.9</v>
      </c>
      <c r="V110" s="4" t="n">
        <v>10128.7</v>
      </c>
      <c r="AP110" s="4" t="n">
        <v>77084.2</v>
      </c>
      <c r="AQ110" s="4" t="n">
        <v>75429.9</v>
      </c>
      <c r="AW110" s="4" t="n">
        <v>1079.7</v>
      </c>
      <c r="BJ110" s="4" t="n">
        <v>17562.5</v>
      </c>
      <c r="BK110" s="4" t="n">
        <v>1102.2</v>
      </c>
      <c r="BO110" s="4" t="n">
        <v>1446.3</v>
      </c>
      <c r="BQ110" s="4" t="n">
        <v>159.3</v>
      </c>
      <c r="BR110" s="4" t="n">
        <v>28262.1</v>
      </c>
      <c r="CO110" s="4" t="n">
        <v>857.8</v>
      </c>
      <c r="CY110" s="4" t="n">
        <v>54.5</v>
      </c>
      <c r="LV110" s="4" t="n">
        <v>-122187.1</v>
      </c>
      <c r="LW110" s="4" t="n">
        <v>-86.7</v>
      </c>
      <c r="LX110" s="5" t="n">
        <f aca="false">SUM(B110:LW110)</f>
        <v>270011.7</v>
      </c>
    </row>
    <row r="111" customFormat="false" ht="15" hidden="false" customHeight="false" outlineLevel="0" collapsed="false">
      <c r="A111" s="3" t="s">
        <v>123</v>
      </c>
      <c r="F111" s="4" t="n">
        <v>158.6</v>
      </c>
      <c r="G111" s="4" t="n">
        <v>11.6</v>
      </c>
      <c r="H111" s="4" t="n">
        <v>289</v>
      </c>
      <c r="I111" s="4" t="n">
        <v>369.7</v>
      </c>
      <c r="W111" s="4" t="n">
        <v>22.8</v>
      </c>
      <c r="BK111" s="4" t="n">
        <v>9.4</v>
      </c>
      <c r="BO111" s="4" t="n">
        <v>12.3</v>
      </c>
      <c r="BQ111" s="4" t="n">
        <v>1.4</v>
      </c>
      <c r="CO111" s="4" t="n">
        <v>7.3</v>
      </c>
      <c r="CY111" s="4" t="n">
        <v>0.5</v>
      </c>
      <c r="LV111" s="4" t="n">
        <v>723.6</v>
      </c>
      <c r="LX111" s="5" t="n">
        <f aca="false">SUM(B111:LW111)</f>
        <v>1606.2</v>
      </c>
    </row>
    <row r="112" customFormat="false" ht="15" hidden="false" customHeight="false" outlineLevel="0" collapsed="false">
      <c r="A112" s="3" t="s">
        <v>124</v>
      </c>
      <c r="F112" s="4" t="n">
        <v>668.4</v>
      </c>
      <c r="G112" s="4" t="n">
        <v>48.7</v>
      </c>
      <c r="H112" s="4" t="n">
        <v>1218.3</v>
      </c>
      <c r="I112" s="4" t="n">
        <v>1558.1</v>
      </c>
      <c r="X112" s="4" t="n">
        <v>1469.9</v>
      </c>
      <c r="BN112" s="4" t="n">
        <v>344.9</v>
      </c>
      <c r="BQ112" s="4" t="n">
        <v>60.9</v>
      </c>
      <c r="CN112" s="4" t="n">
        <v>17.4</v>
      </c>
      <c r="CO112" s="4" t="n">
        <v>875.6</v>
      </c>
      <c r="CX112" s="4" t="n">
        <v>303.1</v>
      </c>
      <c r="CY112" s="4" t="n">
        <v>41.1</v>
      </c>
      <c r="LW112" s="4" t="n">
        <v>-567.2</v>
      </c>
      <c r="LX112" s="5" t="n">
        <f aca="false">SUM(B112:LW112)</f>
        <v>6039.2</v>
      </c>
    </row>
    <row r="113" customFormat="false" ht="15" hidden="false" customHeight="false" outlineLevel="0" collapsed="false">
      <c r="A113" s="3" t="s">
        <v>125</v>
      </c>
      <c r="F113" s="4" t="n">
        <v>1556.7</v>
      </c>
      <c r="G113" s="4" t="n">
        <v>113.4</v>
      </c>
      <c r="H113" s="4" t="n">
        <v>2837.3</v>
      </c>
      <c r="I113" s="4" t="n">
        <v>3628.8</v>
      </c>
      <c r="Y113" s="4" t="n">
        <v>680.7</v>
      </c>
      <c r="BQ113" s="4" t="n">
        <v>38.7</v>
      </c>
      <c r="CN113" s="4" t="n">
        <v>11</v>
      </c>
      <c r="CO113" s="4" t="n">
        <v>556.6</v>
      </c>
      <c r="CX113" s="4" t="n">
        <v>192.7</v>
      </c>
      <c r="CY113" s="4" t="n">
        <v>84</v>
      </c>
      <c r="LW113" s="4" t="n">
        <v>-6320.5</v>
      </c>
      <c r="LX113" s="5" t="n">
        <f aca="false">SUM(B113:LW113)</f>
        <v>3379.4</v>
      </c>
    </row>
    <row r="114" customFormat="false" ht="15" hidden="false" customHeight="false" outlineLevel="0" collapsed="false">
      <c r="A114" s="3" t="s">
        <v>126</v>
      </c>
      <c r="F114" s="4" t="n">
        <v>1041.6</v>
      </c>
      <c r="G114" s="4" t="n">
        <v>75.9</v>
      </c>
      <c r="H114" s="4" t="n">
        <v>1898.5</v>
      </c>
      <c r="I114" s="4" t="n">
        <v>2428.1</v>
      </c>
      <c r="Z114" s="4" t="n">
        <v>1.8</v>
      </c>
      <c r="BQ114" s="4" t="n">
        <v>58.2</v>
      </c>
      <c r="CN114" s="4" t="n">
        <v>16.6</v>
      </c>
      <c r="CO114" s="4" t="n">
        <v>836.8</v>
      </c>
      <c r="CX114" s="4" t="n">
        <v>289.7</v>
      </c>
      <c r="CY114" s="4" t="n">
        <v>34.2</v>
      </c>
      <c r="LW114" s="4" t="n">
        <v>-17.5</v>
      </c>
      <c r="LX114" s="5" t="n">
        <f aca="false">SUM(B114:LW114)</f>
        <v>6663.9</v>
      </c>
    </row>
    <row r="115" customFormat="false" ht="15" hidden="false" customHeight="false" outlineLevel="0" collapsed="false">
      <c r="A115" s="3" t="s">
        <v>127</v>
      </c>
      <c r="F115" s="4" t="n">
        <v>614.5</v>
      </c>
      <c r="G115" s="4" t="n">
        <v>44.8</v>
      </c>
      <c r="H115" s="4" t="n">
        <v>1120</v>
      </c>
      <c r="I115" s="4" t="n">
        <v>1432.4</v>
      </c>
      <c r="Z115" s="4" t="n">
        <v>2</v>
      </c>
      <c r="BQ115" s="4" t="n">
        <v>42</v>
      </c>
      <c r="CN115" s="4" t="n">
        <v>12</v>
      </c>
      <c r="CO115" s="4" t="n">
        <v>603.9</v>
      </c>
      <c r="CX115" s="4" t="n">
        <v>209.1</v>
      </c>
      <c r="CY115" s="4" t="n">
        <v>24.6</v>
      </c>
      <c r="LX115" s="5" t="n">
        <f aca="false">SUM(B115:LW115)</f>
        <v>4105.3</v>
      </c>
    </row>
    <row r="116" customFormat="false" ht="15" hidden="false" customHeight="false" outlineLevel="0" collapsed="false">
      <c r="A116" s="3" t="s">
        <v>128</v>
      </c>
      <c r="F116" s="4" t="n">
        <v>17717.9</v>
      </c>
      <c r="G116" s="4" t="n">
        <v>1291</v>
      </c>
      <c r="H116" s="4" t="n">
        <v>32294.1</v>
      </c>
      <c r="I116" s="4" t="n">
        <v>41302.8</v>
      </c>
      <c r="AA116" s="4" t="n">
        <v>8570.6</v>
      </c>
      <c r="BI116" s="4" t="n">
        <v>310.7</v>
      </c>
      <c r="BO116" s="4" t="n">
        <v>11049.1</v>
      </c>
      <c r="BQ116" s="4" t="n">
        <v>109.5</v>
      </c>
      <c r="CN116" s="4" t="n">
        <v>58</v>
      </c>
      <c r="CO116" s="4" t="n">
        <v>2500.4</v>
      </c>
      <c r="CX116" s="4" t="n">
        <v>1696.6</v>
      </c>
      <c r="CY116" s="4" t="n">
        <v>243</v>
      </c>
      <c r="LV116" s="4" t="n">
        <v>14043.7</v>
      </c>
      <c r="LW116" s="4" t="n">
        <v>-263.2</v>
      </c>
      <c r="LX116" s="5" t="n">
        <f aca="false">SUM(B116:LW116)</f>
        <v>130924.2</v>
      </c>
    </row>
    <row r="117" customFormat="false" ht="15" hidden="false" customHeight="false" outlineLevel="0" collapsed="false">
      <c r="A117" s="3" t="s">
        <v>129</v>
      </c>
      <c r="F117" s="4" t="n">
        <v>1204.4</v>
      </c>
      <c r="G117" s="4" t="n">
        <v>87.8</v>
      </c>
      <c r="H117" s="4" t="n">
        <v>2195.3</v>
      </c>
      <c r="I117" s="4" t="n">
        <v>2807.7</v>
      </c>
      <c r="AB117" s="4" t="n">
        <v>1708</v>
      </c>
      <c r="BO117" s="4" t="n">
        <v>969</v>
      </c>
      <c r="BQ117" s="4" t="n">
        <v>9.4</v>
      </c>
      <c r="CN117" s="4" t="n">
        <v>5</v>
      </c>
      <c r="CO117" s="4" t="n">
        <v>214.4</v>
      </c>
      <c r="CY117" s="4" t="n">
        <v>20.8</v>
      </c>
      <c r="LV117" s="4" t="n">
        <v>231.6</v>
      </c>
      <c r="LW117" s="4" t="n">
        <v>-7</v>
      </c>
      <c r="LX117" s="5" t="n">
        <f aca="false">SUM(B117:LW117)</f>
        <v>9446.4</v>
      </c>
    </row>
    <row r="118" customFormat="false" ht="15" hidden="false" customHeight="false" outlineLevel="0" collapsed="false">
      <c r="A118" s="3" t="s">
        <v>130</v>
      </c>
      <c r="BI118" s="4" t="n">
        <v>770</v>
      </c>
      <c r="BL118" s="4" t="n">
        <v>3212</v>
      </c>
      <c r="BN118" s="4" t="n">
        <v>856</v>
      </c>
      <c r="LV118" s="4" t="n">
        <v>-4705</v>
      </c>
      <c r="LX118" s="5" t="n">
        <f aca="false">SUM(B118:LW118)</f>
        <v>133</v>
      </c>
    </row>
    <row r="119" customFormat="false" ht="15" hidden="false" customHeight="false" outlineLevel="0" collapsed="false">
      <c r="A119" s="3" t="s">
        <v>131</v>
      </c>
      <c r="F119" s="4" t="n">
        <v>2191.1</v>
      </c>
      <c r="G119" s="4" t="n">
        <v>159.7</v>
      </c>
      <c r="H119" s="4" t="n">
        <v>3993.8</v>
      </c>
      <c r="I119" s="4" t="n">
        <v>5107.8</v>
      </c>
      <c r="BL119" s="4" t="n">
        <v>134.1</v>
      </c>
      <c r="BP119" s="4" t="n">
        <v>4.2</v>
      </c>
      <c r="BQ119" s="4" t="n">
        <v>0.9</v>
      </c>
      <c r="CN119" s="4" t="n">
        <v>0.2</v>
      </c>
      <c r="CO119" s="4" t="n">
        <v>9.3</v>
      </c>
      <c r="CX119" s="4" t="n">
        <v>46.5</v>
      </c>
      <c r="CY119" s="4" t="n">
        <v>6.4</v>
      </c>
      <c r="LW119" s="4" t="n">
        <v>-90.3</v>
      </c>
      <c r="LX119" s="5" t="n">
        <f aca="false">SUM(B119:LW119)</f>
        <v>11563.7</v>
      </c>
    </row>
    <row r="120" customFormat="false" ht="15" hidden="false" customHeight="false" outlineLevel="0" collapsed="false">
      <c r="A120" s="3" t="s">
        <v>132</v>
      </c>
      <c r="F120" s="4" t="n">
        <v>5711.4</v>
      </c>
      <c r="G120" s="4" t="n">
        <v>416.2</v>
      </c>
      <c r="H120" s="4" t="n">
        <v>10410.1</v>
      </c>
      <c r="I120" s="4" t="n">
        <v>13314.1</v>
      </c>
      <c r="AL120" s="4" t="n">
        <v>1479.3</v>
      </c>
      <c r="BL120" s="4" t="n">
        <v>358.3</v>
      </c>
      <c r="BP120" s="4" t="n">
        <v>11.2</v>
      </c>
      <c r="BQ120" s="4" t="n">
        <v>2.3</v>
      </c>
      <c r="CN120" s="4" t="n">
        <v>0.5</v>
      </c>
      <c r="CO120" s="4" t="n">
        <v>24.8</v>
      </c>
      <c r="CX120" s="4" t="n">
        <v>124.3</v>
      </c>
      <c r="CY120" s="4" t="n">
        <v>20.5</v>
      </c>
      <c r="LV120" s="4" t="n">
        <v>207.1</v>
      </c>
      <c r="LW120" s="4" t="n">
        <v>-2486.3</v>
      </c>
      <c r="LX120" s="5" t="n">
        <f aca="false">SUM(B120:LW120)</f>
        <v>29593.8</v>
      </c>
    </row>
    <row r="121" customFormat="false" ht="15" hidden="false" customHeight="false" outlineLevel="0" collapsed="false">
      <c r="A121" s="3" t="s">
        <v>133</v>
      </c>
      <c r="F121" s="4" t="n">
        <v>110.2</v>
      </c>
      <c r="G121" s="4" t="n">
        <v>8</v>
      </c>
      <c r="H121" s="4" t="n">
        <v>200.8</v>
      </c>
      <c r="I121" s="4" t="n">
        <v>256.8</v>
      </c>
      <c r="LX121" s="5" t="n">
        <f aca="false">SUM(B121:LW121)</f>
        <v>575.8</v>
      </c>
    </row>
    <row r="122" customFormat="false" ht="15" hidden="false" customHeight="false" outlineLevel="0" collapsed="false">
      <c r="A122" s="3" t="s">
        <v>134</v>
      </c>
      <c r="F122" s="4" t="n">
        <v>249.9</v>
      </c>
      <c r="G122" s="4" t="n">
        <v>18.2</v>
      </c>
      <c r="H122" s="4" t="n">
        <v>455.5</v>
      </c>
      <c r="I122" s="4" t="n">
        <v>582.6</v>
      </c>
      <c r="BL122" s="4" t="n">
        <v>4.4</v>
      </c>
      <c r="BP122" s="4" t="n">
        <v>0.1</v>
      </c>
      <c r="BQ122" s="4" t="n">
        <v>0.5</v>
      </c>
      <c r="CN122" s="4" t="n">
        <v>0</v>
      </c>
      <c r="CO122" s="4" t="n">
        <v>0.3</v>
      </c>
      <c r="CX122" s="4" t="n">
        <v>1.5</v>
      </c>
      <c r="CY122" s="4" t="n">
        <v>3.8</v>
      </c>
      <c r="LV122" s="4" t="n">
        <v>3</v>
      </c>
      <c r="LX122" s="5" t="n">
        <f aca="false">SUM(B122:LW122)</f>
        <v>1319.8</v>
      </c>
    </row>
    <row r="123" customFormat="false" ht="15" hidden="false" customHeight="false" outlineLevel="0" collapsed="false">
      <c r="A123" s="3" t="s">
        <v>135</v>
      </c>
      <c r="F123" s="4" t="n">
        <v>968.5</v>
      </c>
      <c r="G123" s="4" t="n">
        <v>70.6</v>
      </c>
      <c r="H123" s="4" t="n">
        <v>1765.2</v>
      </c>
      <c r="I123" s="4" t="n">
        <v>2257.7</v>
      </c>
      <c r="AL123" s="4" t="n">
        <v>509.8</v>
      </c>
      <c r="BI123" s="4" t="n">
        <v>5269.1</v>
      </c>
      <c r="BL123" s="4" t="n">
        <v>80.9</v>
      </c>
      <c r="BP123" s="4" t="n">
        <v>2.5</v>
      </c>
      <c r="BQ123" s="4" t="n">
        <v>0.3</v>
      </c>
      <c r="CN123" s="4" t="n">
        <v>0.1</v>
      </c>
      <c r="CO123" s="4" t="n">
        <v>5.6</v>
      </c>
      <c r="CX123" s="4" t="n">
        <v>28</v>
      </c>
      <c r="CY123" s="4" t="n">
        <v>8.2</v>
      </c>
      <c r="LX123" s="5" t="n">
        <f aca="false">SUM(B123:LW123)</f>
        <v>10966.5</v>
      </c>
    </row>
    <row r="124" customFormat="false" ht="15" hidden="false" customHeight="false" outlineLevel="0" collapsed="false">
      <c r="A124" s="3" t="s">
        <v>136</v>
      </c>
      <c r="F124" s="4" t="n">
        <v>3923.7</v>
      </c>
      <c r="G124" s="4" t="n">
        <v>285.9</v>
      </c>
      <c r="H124" s="4" t="n">
        <v>7151.7</v>
      </c>
      <c r="I124" s="4" t="n">
        <v>9146.7</v>
      </c>
      <c r="BL124" s="4" t="n">
        <v>143.2</v>
      </c>
      <c r="BP124" s="4" t="n">
        <v>4.5</v>
      </c>
      <c r="BQ124" s="4" t="n">
        <v>0</v>
      </c>
      <c r="CN124" s="4" t="n">
        <v>0.2</v>
      </c>
      <c r="CO124" s="4" t="n">
        <v>9.9</v>
      </c>
      <c r="CX124" s="4" t="n">
        <v>49.6</v>
      </c>
      <c r="CY124" s="4" t="n">
        <v>0.2</v>
      </c>
      <c r="LV124" s="4" t="n">
        <v>1698.7</v>
      </c>
      <c r="LW124" s="4" t="n">
        <v>-114.2</v>
      </c>
      <c r="LX124" s="5" t="n">
        <f aca="false">SUM(B124:LW124)</f>
        <v>22300.1</v>
      </c>
    </row>
    <row r="125" customFormat="false" ht="15" hidden="false" customHeight="false" outlineLevel="0" collapsed="false">
      <c r="A125" s="3" t="s">
        <v>137</v>
      </c>
      <c r="F125" s="4" t="n">
        <v>738.5</v>
      </c>
      <c r="G125" s="4" t="n">
        <v>53.8</v>
      </c>
      <c r="H125" s="4" t="n">
        <v>1346.1</v>
      </c>
      <c r="I125" s="4" t="n">
        <v>1721.6</v>
      </c>
      <c r="AL125" s="4" t="n">
        <v>149.2</v>
      </c>
      <c r="BI125" s="4" t="n">
        <v>1045.9</v>
      </c>
      <c r="BL125" s="4" t="n">
        <v>45.9</v>
      </c>
      <c r="BP125" s="4" t="n">
        <v>1.4</v>
      </c>
      <c r="BQ125" s="4" t="n">
        <v>0.9</v>
      </c>
      <c r="CN125" s="4" t="n">
        <v>0.1</v>
      </c>
      <c r="CO125" s="4" t="n">
        <v>3.2</v>
      </c>
      <c r="CX125" s="4" t="n">
        <v>15.9</v>
      </c>
      <c r="CY125" s="4" t="n">
        <v>6.9</v>
      </c>
      <c r="LV125" s="4" t="n">
        <v>47</v>
      </c>
      <c r="LW125" s="4" t="n">
        <v>-2073.5</v>
      </c>
      <c r="LX125" s="5" t="n">
        <f aca="false">SUM(B125:LW125)</f>
        <v>3102.9</v>
      </c>
    </row>
    <row r="126" customFormat="false" ht="15" hidden="false" customHeight="false" outlineLevel="0" collapsed="false">
      <c r="A126" s="3" t="s">
        <v>138</v>
      </c>
      <c r="F126" s="4" t="n">
        <v>806.3</v>
      </c>
      <c r="G126" s="4" t="n">
        <v>58.7</v>
      </c>
      <c r="H126" s="4" t="n">
        <v>1469.5</v>
      </c>
      <c r="I126" s="4" t="n">
        <v>1879.5</v>
      </c>
      <c r="CN126" s="4" t="n">
        <v>30.9</v>
      </c>
      <c r="CO126" s="4" t="n">
        <v>334.8</v>
      </c>
      <c r="LV126" s="4" t="n">
        <v>76.4</v>
      </c>
      <c r="LX126" s="5" t="n">
        <f aca="false">SUM(B126:LW126)</f>
        <v>4656.1</v>
      </c>
    </row>
    <row r="127" customFormat="false" ht="15" hidden="false" customHeight="false" outlineLevel="0" collapsed="false">
      <c r="A127" s="3" t="s">
        <v>139</v>
      </c>
      <c r="F127" s="4" t="n">
        <v>3707.8</v>
      </c>
      <c r="G127" s="4" t="n">
        <v>270.2</v>
      </c>
      <c r="H127" s="4" t="n">
        <v>6758.2</v>
      </c>
      <c r="I127" s="4" t="n">
        <v>8643.4</v>
      </c>
      <c r="CN127" s="4" t="n">
        <v>142.1</v>
      </c>
      <c r="CO127" s="4" t="n">
        <v>1539.8</v>
      </c>
      <c r="LV127" s="4" t="n">
        <v>351.5</v>
      </c>
      <c r="LX127" s="5" t="n">
        <f aca="false">SUM(B127:LW127)</f>
        <v>21413</v>
      </c>
    </row>
    <row r="128" customFormat="false" ht="15" hidden="false" customHeight="false" outlineLevel="0" collapsed="false">
      <c r="A128" s="3" t="s">
        <v>140</v>
      </c>
      <c r="F128" s="4" t="n">
        <v>207.9</v>
      </c>
      <c r="G128" s="4" t="n">
        <v>15.1</v>
      </c>
      <c r="H128" s="4" t="n">
        <v>378.9</v>
      </c>
      <c r="I128" s="4" t="n">
        <v>484.6</v>
      </c>
      <c r="BI128" s="4" t="n">
        <v>23597.8</v>
      </c>
      <c r="LV128" s="4" t="n">
        <v>-22785.6</v>
      </c>
      <c r="LW128" s="4" t="n">
        <v>-111.6</v>
      </c>
      <c r="LX128" s="5" t="n">
        <f aca="false">SUM(B128:LW128)</f>
        <v>1787.1</v>
      </c>
    </row>
    <row r="129" customFormat="false" ht="15" hidden="false" customHeight="false" outlineLevel="0" collapsed="false">
      <c r="A129" s="3" t="s">
        <v>141</v>
      </c>
      <c r="F129" s="4" t="n">
        <v>2619.1</v>
      </c>
      <c r="G129" s="4" t="n">
        <v>190.8</v>
      </c>
      <c r="H129" s="4" t="n">
        <v>4773.7</v>
      </c>
      <c r="I129" s="4" t="n">
        <v>6105.4</v>
      </c>
      <c r="BI129" s="4" t="n">
        <v>10582.3</v>
      </c>
      <c r="BR129" s="4" t="n">
        <v>1000.8</v>
      </c>
      <c r="LV129" s="4" t="n">
        <v>57.7</v>
      </c>
      <c r="LW129" s="4" t="n">
        <v>-1608.7</v>
      </c>
      <c r="LX129" s="5" t="n">
        <f aca="false">SUM(B129:LW129)</f>
        <v>23721.1</v>
      </c>
    </row>
    <row r="130" customFormat="false" ht="15" hidden="false" customHeight="false" outlineLevel="0" collapsed="false">
      <c r="A130" s="3" t="s">
        <v>142</v>
      </c>
      <c r="F130" s="4" t="n">
        <v>6937.2</v>
      </c>
      <c r="G130" s="4" t="n">
        <v>505.5</v>
      </c>
      <c r="H130" s="4" t="n">
        <v>12644.4</v>
      </c>
      <c r="I130" s="4" t="n">
        <v>16171.6</v>
      </c>
      <c r="AH130" s="4" t="n">
        <v>187</v>
      </c>
      <c r="AI130" s="4" t="n">
        <v>1795.8</v>
      </c>
      <c r="BL130" s="4" t="n">
        <v>465</v>
      </c>
      <c r="BM130" s="4" t="n">
        <v>15</v>
      </c>
      <c r="BO130" s="4" t="n">
        <v>300</v>
      </c>
      <c r="BQ130" s="4" t="n">
        <v>4106.6</v>
      </c>
      <c r="BR130" s="4" t="n">
        <v>7564.3</v>
      </c>
      <c r="BS130" s="4" t="n">
        <v>34286.8</v>
      </c>
      <c r="CO130" s="4" t="n">
        <v>125</v>
      </c>
      <c r="LV130" s="4" t="n">
        <v>60</v>
      </c>
      <c r="LW130" s="4" t="n">
        <v>-43376</v>
      </c>
      <c r="LX130" s="5" t="n">
        <f aca="false">SUM(B130:LW130)</f>
        <v>41788.2</v>
      </c>
    </row>
    <row r="131" customFormat="false" ht="15" hidden="false" customHeight="false" outlineLevel="0" collapsed="false">
      <c r="A131" s="3" t="s">
        <v>143</v>
      </c>
      <c r="F131" s="4" t="n">
        <v>7366.4</v>
      </c>
      <c r="G131" s="4" t="n">
        <v>536.8</v>
      </c>
      <c r="H131" s="4" t="n">
        <v>13426.6</v>
      </c>
      <c r="I131" s="4" t="n">
        <v>17172.1</v>
      </c>
      <c r="AJ131" s="4" t="n">
        <v>7320.1</v>
      </c>
      <c r="AW131" s="4" t="n">
        <v>684.8</v>
      </c>
      <c r="BG131" s="4" t="n">
        <v>25.4</v>
      </c>
      <c r="BI131" s="4" t="n">
        <v>16451.1</v>
      </c>
      <c r="BK131" s="4" t="n">
        <v>9.8</v>
      </c>
      <c r="BL131" s="4" t="n">
        <v>522.4</v>
      </c>
      <c r="BO131" s="4" t="n">
        <v>639.9</v>
      </c>
      <c r="BQ131" s="4" t="n">
        <v>103.7</v>
      </c>
      <c r="CN131" s="4" t="n">
        <v>8.8</v>
      </c>
      <c r="CO131" s="4" t="n">
        <v>426.5</v>
      </c>
      <c r="CX131" s="4" t="n">
        <v>37</v>
      </c>
      <c r="CY131" s="4" t="n">
        <v>7.8</v>
      </c>
      <c r="LV131" s="4" t="n">
        <v>-4993.2</v>
      </c>
      <c r="LW131" s="4" t="n">
        <v>-39.3</v>
      </c>
      <c r="LX131" s="5" t="n">
        <f aca="false">SUM(B131:LW131)</f>
        <v>59706.7</v>
      </c>
    </row>
    <row r="132" customFormat="false" ht="15" hidden="false" customHeight="false" outlineLevel="0" collapsed="false">
      <c r="A132" s="3" t="s">
        <v>144</v>
      </c>
      <c r="F132" s="4" t="n">
        <v>970.5</v>
      </c>
      <c r="G132" s="4" t="n">
        <v>70.7</v>
      </c>
      <c r="H132" s="4" t="n">
        <v>1769</v>
      </c>
      <c r="I132" s="4" t="n">
        <v>2262.5</v>
      </c>
      <c r="AK132" s="4" t="n">
        <v>492.7</v>
      </c>
      <c r="AW132" s="4" t="n">
        <v>14.8</v>
      </c>
      <c r="BG132" s="4" t="n">
        <v>0.5</v>
      </c>
      <c r="BK132" s="4" t="n">
        <v>0.2</v>
      </c>
      <c r="BL132" s="4" t="n">
        <v>11.3</v>
      </c>
      <c r="BO132" s="4" t="n">
        <v>16.7</v>
      </c>
      <c r="BQ132" s="4" t="n">
        <v>2.2</v>
      </c>
      <c r="CN132" s="4" t="n">
        <v>0.2</v>
      </c>
      <c r="CO132" s="4" t="n">
        <v>9.2</v>
      </c>
      <c r="CY132" s="4" t="n">
        <v>0.2</v>
      </c>
      <c r="LV132" s="4" t="n">
        <v>-130.6</v>
      </c>
      <c r="LW132" s="4" t="n">
        <v>-0.7</v>
      </c>
      <c r="LX132" s="5" t="n">
        <f aca="false">SUM(B132:LW132)</f>
        <v>5489.4</v>
      </c>
    </row>
    <row r="133" customFormat="false" ht="15" hidden="false" customHeight="false" outlineLevel="0" collapsed="false">
      <c r="A133" s="3" t="s">
        <v>145</v>
      </c>
      <c r="AM133" s="4" t="n">
        <v>106558.4</v>
      </c>
      <c r="LV133" s="4" t="n">
        <v>17281.2</v>
      </c>
      <c r="LX133" s="5" t="n">
        <f aca="false">SUM(B133:LW133)</f>
        <v>123839.6</v>
      </c>
    </row>
    <row r="134" customFormat="false" ht="15" hidden="false" customHeight="false" outlineLevel="0" collapsed="false">
      <c r="A134" s="3" t="s">
        <v>146</v>
      </c>
      <c r="F134" s="4" t="n">
        <v>103.2</v>
      </c>
      <c r="G134" s="4" t="n">
        <v>7.5</v>
      </c>
      <c r="H134" s="4" t="n">
        <v>188.2</v>
      </c>
      <c r="I134" s="4" t="n">
        <v>240.7</v>
      </c>
      <c r="AL134" s="4" t="n">
        <v>6758.7</v>
      </c>
      <c r="AM134" s="4" t="n">
        <v>3332.4</v>
      </c>
      <c r="BT134" s="4" t="n">
        <v>4060.2</v>
      </c>
      <c r="LV134" s="4" t="n">
        <v>11568.7</v>
      </c>
      <c r="LX134" s="5" t="n">
        <f aca="false">SUM(B134:LW134)</f>
        <v>26259.6</v>
      </c>
    </row>
    <row r="135" customFormat="false" ht="15" hidden="false" customHeight="false" outlineLevel="0" collapsed="false">
      <c r="A135" s="3" t="s">
        <v>147</v>
      </c>
      <c r="F135" s="4" t="n">
        <v>7.1</v>
      </c>
      <c r="G135" s="4" t="n">
        <v>0.5</v>
      </c>
      <c r="H135" s="4" t="n">
        <v>13</v>
      </c>
      <c r="I135" s="4" t="n">
        <v>16.6</v>
      </c>
      <c r="AM135" s="4" t="n">
        <v>158.9</v>
      </c>
      <c r="AP135" s="4" t="n">
        <v>10035.8</v>
      </c>
      <c r="AQ135" s="4" t="n">
        <v>8911.7</v>
      </c>
      <c r="BI135" s="4" t="n">
        <v>3345.3</v>
      </c>
      <c r="BJ135" s="4" t="n">
        <v>3238.2</v>
      </c>
      <c r="BO135" s="4" t="n">
        <v>9151.7</v>
      </c>
      <c r="LV135" s="4" t="n">
        <v>-32581.5</v>
      </c>
      <c r="LW135" s="4" t="n">
        <v>-764.9</v>
      </c>
      <c r="LX135" s="5" t="n">
        <f aca="false">SUM(B135:LW135)</f>
        <v>1532.4</v>
      </c>
    </row>
    <row r="136" customFormat="false" ht="15" hidden="false" customHeight="false" outlineLevel="0" collapsed="false">
      <c r="A136" s="3" t="s">
        <v>148</v>
      </c>
      <c r="F136" s="4" t="n">
        <v>524.2</v>
      </c>
      <c r="G136" s="4" t="n">
        <v>38.2</v>
      </c>
      <c r="H136" s="4" t="n">
        <v>955.5</v>
      </c>
      <c r="I136" s="4" t="n">
        <v>1222.1</v>
      </c>
      <c r="AN136" s="4" t="n">
        <v>1708.8</v>
      </c>
      <c r="BJ136" s="4" t="n">
        <v>418.7</v>
      </c>
      <c r="BQ136" s="4" t="n">
        <v>3</v>
      </c>
      <c r="CO136" s="4" t="n">
        <v>2</v>
      </c>
      <c r="CX136" s="4" t="n">
        <v>8</v>
      </c>
      <c r="LV136" s="4" t="n">
        <v>771.4</v>
      </c>
      <c r="LW136" s="4" t="n">
        <v>-226.2</v>
      </c>
      <c r="LX136" s="5" t="n">
        <f aca="false">SUM(B136:LW136)</f>
        <v>5425.7</v>
      </c>
    </row>
    <row r="137" customFormat="false" ht="15" hidden="false" customHeight="false" outlineLevel="0" collapsed="false">
      <c r="A137" s="3" t="s">
        <v>149</v>
      </c>
      <c r="F137" s="4" t="n">
        <v>5352.8</v>
      </c>
      <c r="G137" s="4" t="n">
        <v>390</v>
      </c>
      <c r="H137" s="4" t="n">
        <v>9756.4</v>
      </c>
      <c r="I137" s="4" t="n">
        <v>12478.1</v>
      </c>
      <c r="AI137" s="4" t="n">
        <v>42</v>
      </c>
      <c r="AL137" s="4" t="n">
        <v>5537.1</v>
      </c>
      <c r="AN137" s="4" t="n">
        <v>1503.9</v>
      </c>
      <c r="LX137" s="5" t="n">
        <f aca="false">SUM(B137:LW137)</f>
        <v>35060.3</v>
      </c>
    </row>
    <row r="138" customFormat="false" ht="15" hidden="false" customHeight="false" outlineLevel="0" collapsed="false">
      <c r="A138" s="3" t="s">
        <v>150</v>
      </c>
      <c r="F138" s="4" t="n">
        <v>8361.8</v>
      </c>
      <c r="G138" s="4" t="n">
        <v>609.3</v>
      </c>
      <c r="H138" s="4" t="n">
        <v>15240.8</v>
      </c>
      <c r="I138" s="4" t="n">
        <v>19492.4</v>
      </c>
      <c r="BC138" s="4" t="n">
        <v>3668.3</v>
      </c>
      <c r="BG138" s="4" t="n">
        <v>88</v>
      </c>
      <c r="BI138" s="4" t="n">
        <v>10066.2</v>
      </c>
      <c r="BZ138" s="4" t="n">
        <v>1257.4</v>
      </c>
      <c r="CA138" s="4" t="n">
        <v>26</v>
      </c>
      <c r="LV138" s="4" t="n">
        <v>-139.1</v>
      </c>
      <c r="LW138" s="4" t="n">
        <v>-1</v>
      </c>
      <c r="LX138" s="5" t="n">
        <f aca="false">SUM(B138:LW138)</f>
        <v>58670.1</v>
      </c>
    </row>
    <row r="139" customFormat="false" ht="15" hidden="false" customHeight="false" outlineLevel="0" collapsed="false">
      <c r="A139" s="3" t="s">
        <v>151</v>
      </c>
      <c r="F139" s="4" t="n">
        <v>4665.2</v>
      </c>
      <c r="G139" s="4" t="n">
        <v>339.9</v>
      </c>
      <c r="H139" s="4" t="n">
        <v>8503.2</v>
      </c>
      <c r="I139" s="4" t="n">
        <v>10875.3</v>
      </c>
      <c r="BG139" s="4" t="n">
        <v>159326.2</v>
      </c>
      <c r="CN139" s="4" t="n">
        <v>7.7</v>
      </c>
      <c r="CO139" s="4" t="n">
        <v>21373.1</v>
      </c>
      <c r="LV139" s="4" t="n">
        <v>-35201.4</v>
      </c>
      <c r="LW139" s="4" t="n">
        <v>-1.9</v>
      </c>
      <c r="LX139" s="5" t="n">
        <f aca="false">SUM(B139:LW139)</f>
        <v>169887.3</v>
      </c>
    </row>
    <row r="140" customFormat="false" ht="15" hidden="false" customHeight="false" outlineLevel="0" collapsed="false">
      <c r="A140" s="3" t="s">
        <v>152</v>
      </c>
      <c r="F140" s="4" t="n">
        <v>2057.8</v>
      </c>
      <c r="G140" s="4" t="n">
        <v>149.9</v>
      </c>
      <c r="H140" s="4" t="n">
        <v>3750.7</v>
      </c>
      <c r="I140" s="4" t="n">
        <v>4797</v>
      </c>
      <c r="BG140" s="4" t="n">
        <v>2231.4</v>
      </c>
      <c r="CN140" s="4" t="n">
        <v>3.4</v>
      </c>
      <c r="CO140" s="4" t="n">
        <v>9427.6</v>
      </c>
      <c r="LV140" s="4" t="n">
        <v>52528.2</v>
      </c>
      <c r="LW140" s="4" t="n">
        <v>-0.1</v>
      </c>
      <c r="LX140" s="5" t="n">
        <f aca="false">SUM(B140:LW140)</f>
        <v>74945.9</v>
      </c>
    </row>
    <row r="141" customFormat="false" ht="15" hidden="false" customHeight="false" outlineLevel="0" collapsed="false">
      <c r="A141" s="3" t="s">
        <v>153</v>
      </c>
      <c r="F141" s="4" t="n">
        <v>805.6</v>
      </c>
      <c r="G141" s="4" t="n">
        <v>58.7</v>
      </c>
      <c r="H141" s="4" t="n">
        <v>1468.3</v>
      </c>
      <c r="I141" s="4" t="n">
        <v>1877.9</v>
      </c>
      <c r="BN141" s="4" t="n">
        <v>531.8</v>
      </c>
      <c r="CN141" s="4" t="n">
        <v>2.9</v>
      </c>
      <c r="CO141" s="4" t="n">
        <v>8123.8</v>
      </c>
      <c r="LV141" s="4" t="n">
        <v>52488.5</v>
      </c>
      <c r="LX141" s="5" t="n">
        <f aca="false">SUM(B141:LW141)</f>
        <v>65357.5</v>
      </c>
    </row>
    <row r="142" customFormat="false" ht="15" hidden="false" customHeight="false" outlineLevel="0" collapsed="false">
      <c r="A142" s="3" t="s">
        <v>154</v>
      </c>
      <c r="F142" s="4" t="n">
        <v>8374.1</v>
      </c>
      <c r="G142" s="4" t="n">
        <v>610.2</v>
      </c>
      <c r="H142" s="4" t="n">
        <v>15263.3</v>
      </c>
      <c r="I142" s="4" t="n">
        <v>19521.1</v>
      </c>
      <c r="BG142" s="4" t="n">
        <v>31467.4</v>
      </c>
      <c r="CN142" s="4" t="n">
        <v>52.9</v>
      </c>
      <c r="CO142" s="4" t="n">
        <v>8855.4</v>
      </c>
      <c r="LV142" s="4" t="n">
        <v>44279.4</v>
      </c>
      <c r="LW142" s="4" t="n">
        <v>-6</v>
      </c>
      <c r="LX142" s="5" t="n">
        <f aca="false">SUM(B142:LW142)</f>
        <v>128417.8</v>
      </c>
    </row>
    <row r="143" customFormat="false" ht="15" hidden="false" customHeight="false" outlineLevel="0" collapsed="false">
      <c r="A143" s="3" t="s">
        <v>155</v>
      </c>
      <c r="F143" s="4" t="n">
        <v>6675.5</v>
      </c>
      <c r="G143" s="4" t="n">
        <v>486.4</v>
      </c>
      <c r="H143" s="4" t="n">
        <v>12167.2</v>
      </c>
      <c r="I143" s="4" t="n">
        <v>15561.4</v>
      </c>
      <c r="BG143" s="4" t="n">
        <v>37130.3</v>
      </c>
      <c r="CN143" s="4" t="n">
        <v>43.6</v>
      </c>
      <c r="CO143" s="4" t="n">
        <v>7301.9</v>
      </c>
      <c r="LV143" s="4" t="n">
        <v>26705.5</v>
      </c>
      <c r="LW143" s="4" t="n">
        <v>0</v>
      </c>
      <c r="LX143" s="5" t="n">
        <f aca="false">SUM(B143:LW143)</f>
        <v>106071.8</v>
      </c>
    </row>
    <row r="144" customFormat="false" ht="15" hidden="false" customHeight="false" outlineLevel="0" collapsed="false">
      <c r="A144" s="3" t="s">
        <v>156</v>
      </c>
      <c r="F144" s="4" t="n">
        <v>36.6</v>
      </c>
      <c r="G144" s="4" t="n">
        <v>2.7</v>
      </c>
      <c r="H144" s="4" t="n">
        <v>66.7</v>
      </c>
      <c r="I144" s="4" t="n">
        <v>85.3</v>
      </c>
      <c r="BN144" s="4" t="n">
        <v>469.8</v>
      </c>
      <c r="CN144" s="4" t="n">
        <v>0.4</v>
      </c>
      <c r="CO144" s="4" t="n">
        <v>65.3</v>
      </c>
      <c r="LV144" s="4" t="n">
        <v>240.4</v>
      </c>
      <c r="LX144" s="5" t="n">
        <f aca="false">SUM(B144:LW144)</f>
        <v>967.2</v>
      </c>
    </row>
    <row r="145" customFormat="false" ht="15" hidden="false" customHeight="false" outlineLevel="0" collapsed="false">
      <c r="A145" s="3" t="s">
        <v>157</v>
      </c>
      <c r="F145" s="4" t="n">
        <v>505.6</v>
      </c>
      <c r="G145" s="4" t="n">
        <v>36.8</v>
      </c>
      <c r="H145" s="4" t="n">
        <v>921.5</v>
      </c>
      <c r="I145" s="4" t="n">
        <v>1178.6</v>
      </c>
      <c r="BG145" s="4" t="n">
        <v>616.8</v>
      </c>
      <c r="BK145" s="4" t="n">
        <v>33.5</v>
      </c>
      <c r="BQ145" s="4" t="n">
        <v>2</v>
      </c>
      <c r="CO145" s="4" t="n">
        <v>16.5</v>
      </c>
      <c r="CY145" s="4" t="n">
        <v>153.1</v>
      </c>
      <c r="LV145" s="4" t="n">
        <v>716.1</v>
      </c>
      <c r="LW145" s="4" t="n">
        <v>-3.1</v>
      </c>
      <c r="LX145" s="5" t="n">
        <f aca="false">SUM(B145:LW145)</f>
        <v>4177.4</v>
      </c>
    </row>
    <row r="146" customFormat="false" ht="15" hidden="false" customHeight="false" outlineLevel="0" collapsed="false">
      <c r="A146" s="3" t="s">
        <v>158</v>
      </c>
      <c r="F146" s="4" t="n">
        <v>180.9</v>
      </c>
      <c r="G146" s="4" t="n">
        <v>13.2</v>
      </c>
      <c r="H146" s="4" t="n">
        <v>329.7</v>
      </c>
      <c r="I146" s="4" t="n">
        <v>421.6</v>
      </c>
      <c r="BG146" s="4" t="n">
        <v>43.7</v>
      </c>
      <c r="BK146" s="4" t="n">
        <v>13.4</v>
      </c>
      <c r="BQ146" s="4" t="n">
        <v>0.8</v>
      </c>
      <c r="CO146" s="4" t="n">
        <v>41</v>
      </c>
      <c r="CY146" s="4" t="n">
        <v>370.2</v>
      </c>
      <c r="LV146" s="4" t="n">
        <v>296.2</v>
      </c>
      <c r="LW146" s="4" t="n">
        <v>-29.3</v>
      </c>
      <c r="LX146" s="5" t="n">
        <f aca="false">SUM(B146:LW146)</f>
        <v>1681.4</v>
      </c>
    </row>
    <row r="147" customFormat="false" ht="15" hidden="false" customHeight="false" outlineLevel="0" collapsed="false">
      <c r="A147" s="3" t="s">
        <v>159</v>
      </c>
      <c r="F147" s="4" t="n">
        <v>37.8</v>
      </c>
      <c r="G147" s="4" t="n">
        <v>2.8</v>
      </c>
      <c r="H147" s="4" t="n">
        <v>69</v>
      </c>
      <c r="I147" s="4" t="n">
        <v>88.2</v>
      </c>
      <c r="BG147" s="4" t="n">
        <v>346.5</v>
      </c>
      <c r="BK147" s="4" t="n">
        <v>5</v>
      </c>
      <c r="BQ147" s="4" t="n">
        <v>0.3</v>
      </c>
      <c r="CO147" s="4" t="n">
        <v>6.1</v>
      </c>
      <c r="CY147" s="4" t="n">
        <v>56.9</v>
      </c>
      <c r="LV147" s="4" t="n">
        <v>23.1</v>
      </c>
      <c r="LW147" s="4" t="n">
        <v>-10.9</v>
      </c>
      <c r="LX147" s="5" t="n">
        <f aca="false">SUM(B147:LW147)</f>
        <v>624.8</v>
      </c>
    </row>
    <row r="148" customFormat="false" ht="15" hidden="false" customHeight="false" outlineLevel="0" collapsed="false">
      <c r="A148" s="3" t="s">
        <v>160</v>
      </c>
      <c r="F148" s="4" t="n">
        <v>0</v>
      </c>
      <c r="G148" s="4" t="n">
        <v>0</v>
      </c>
      <c r="H148" s="4" t="n">
        <v>0.1</v>
      </c>
      <c r="I148" s="4" t="n">
        <v>0.1</v>
      </c>
      <c r="BK148" s="4" t="n">
        <v>0</v>
      </c>
      <c r="BQ148" s="4" t="n">
        <v>0</v>
      </c>
      <c r="CO148" s="4" t="n">
        <v>0</v>
      </c>
      <c r="CY148" s="4" t="n">
        <v>0.1</v>
      </c>
      <c r="LV148" s="4" t="n">
        <v>0.1</v>
      </c>
      <c r="LW148" s="4" t="n">
        <v>0.3</v>
      </c>
      <c r="LX148" s="5" t="n">
        <f aca="false">SUM(B148:LW148)</f>
        <v>0.7</v>
      </c>
    </row>
    <row r="149" customFormat="false" ht="15" hidden="false" customHeight="false" outlineLevel="0" collapsed="false">
      <c r="A149" s="3" t="s">
        <v>161</v>
      </c>
      <c r="F149" s="4" t="n">
        <v>1910.2</v>
      </c>
      <c r="G149" s="4" t="n">
        <v>139.2</v>
      </c>
      <c r="H149" s="4" t="n">
        <v>3481.6</v>
      </c>
      <c r="I149" s="4" t="n">
        <v>4452.9</v>
      </c>
      <c r="BG149" s="4" t="n">
        <v>3064.2</v>
      </c>
      <c r="BK149" s="4" t="n">
        <v>138.3</v>
      </c>
      <c r="BQ149" s="4" t="n">
        <v>8.1</v>
      </c>
      <c r="CO149" s="4" t="n">
        <v>169.4</v>
      </c>
      <c r="CY149" s="4" t="n">
        <v>858.1</v>
      </c>
      <c r="LV149" s="4" t="n">
        <v>1660.1</v>
      </c>
      <c r="LW149" s="4" t="n">
        <v>-0.6</v>
      </c>
      <c r="LX149" s="5" t="n">
        <f aca="false">SUM(B149:LW149)</f>
        <v>15881.5</v>
      </c>
    </row>
    <row r="150" customFormat="false" ht="15" hidden="false" customHeight="false" outlineLevel="0" collapsed="false">
      <c r="A150" s="3" t="s">
        <v>162</v>
      </c>
      <c r="F150" s="4" t="n">
        <v>525.3</v>
      </c>
      <c r="G150" s="4" t="n">
        <v>38.3</v>
      </c>
      <c r="H150" s="4" t="n">
        <v>957.4</v>
      </c>
      <c r="I150" s="4" t="n">
        <v>1224.5</v>
      </c>
      <c r="BK150" s="4" t="n">
        <v>22.5</v>
      </c>
      <c r="CN150" s="4" t="n">
        <v>11</v>
      </c>
      <c r="CO150" s="4" t="n">
        <v>475.2</v>
      </c>
      <c r="CX150" s="4" t="n">
        <v>1300.9</v>
      </c>
      <c r="CY150" s="4" t="n">
        <v>105.9</v>
      </c>
      <c r="LV150" s="4" t="n">
        <v>4604.4</v>
      </c>
      <c r="LX150" s="5" t="n">
        <f aca="false">SUM(B150:LW150)</f>
        <v>9265.4</v>
      </c>
    </row>
    <row r="151" customFormat="false" ht="15" hidden="false" customHeight="false" outlineLevel="0" collapsed="false">
      <c r="A151" s="3" t="s">
        <v>163</v>
      </c>
      <c r="F151" s="4" t="n">
        <v>70.5</v>
      </c>
      <c r="G151" s="4" t="n">
        <v>5.1</v>
      </c>
      <c r="H151" s="4" t="n">
        <v>128.5</v>
      </c>
      <c r="I151" s="4" t="n">
        <v>164.4</v>
      </c>
      <c r="BK151" s="4" t="n">
        <v>9.2</v>
      </c>
      <c r="BQ151" s="4" t="n">
        <v>0.5</v>
      </c>
      <c r="CN151" s="4" t="n">
        <v>23</v>
      </c>
      <c r="CO151" s="4" t="n">
        <v>27.6</v>
      </c>
      <c r="CX151" s="4" t="n">
        <v>2257.8</v>
      </c>
      <c r="LV151" s="4" t="n">
        <v>-1504.2</v>
      </c>
      <c r="LW151" s="4" t="n">
        <v>-31.1</v>
      </c>
      <c r="LX151" s="5" t="n">
        <f aca="false">SUM(B151:LW151)</f>
        <v>1151.3</v>
      </c>
    </row>
    <row r="152" customFormat="false" ht="15" hidden="false" customHeight="false" outlineLevel="0" collapsed="false">
      <c r="A152" s="3" t="s">
        <v>164</v>
      </c>
      <c r="AP152" s="4" t="n">
        <v>277</v>
      </c>
      <c r="AQ152" s="4" t="n">
        <v>165</v>
      </c>
      <c r="BO152" s="4" t="n">
        <v>523.9</v>
      </c>
      <c r="BQ152" s="4" t="n">
        <v>1.3</v>
      </c>
      <c r="CO152" s="4" t="n">
        <v>11.3</v>
      </c>
      <c r="LV152" s="4" t="n">
        <v>-542.7</v>
      </c>
      <c r="LX152" s="5" t="n">
        <f aca="false">SUM(B152:LW152)</f>
        <v>435.8</v>
      </c>
    </row>
    <row r="153" customFormat="false" ht="15" hidden="false" customHeight="false" outlineLevel="0" collapsed="false">
      <c r="A153" s="3" t="s">
        <v>165</v>
      </c>
      <c r="F153" s="4" t="n">
        <v>13195</v>
      </c>
      <c r="G153" s="4" t="n">
        <v>961.5</v>
      </c>
      <c r="H153" s="4" t="n">
        <v>24050.4</v>
      </c>
      <c r="I153" s="4" t="n">
        <v>30759.4</v>
      </c>
      <c r="AW153" s="4" t="n">
        <v>2702.2</v>
      </c>
      <c r="AZ153" s="4" t="n">
        <v>396.7</v>
      </c>
      <c r="BG153" s="4" t="n">
        <v>35194.8</v>
      </c>
      <c r="BI153" s="4" t="n">
        <v>1753.8</v>
      </c>
      <c r="BN153" s="4" t="n">
        <v>69</v>
      </c>
      <c r="BP153" s="4" t="n">
        <v>23</v>
      </c>
      <c r="CN153" s="4" t="n">
        <v>195.9</v>
      </c>
      <c r="CO153" s="4" t="n">
        <v>8463</v>
      </c>
      <c r="CX153" s="4" t="n">
        <v>23170</v>
      </c>
      <c r="CY153" s="4" t="n">
        <v>16590.1</v>
      </c>
      <c r="LV153" s="4" t="n">
        <v>-1079.5</v>
      </c>
      <c r="LW153" s="4" t="n">
        <v>-496.3</v>
      </c>
      <c r="LX153" s="5" t="n">
        <f aca="false">SUM(B153:LW153)</f>
        <v>155949</v>
      </c>
    </row>
    <row r="154" customFormat="false" ht="15" hidden="false" customHeight="false" outlineLevel="0" collapsed="false">
      <c r="A154" s="3" t="s">
        <v>166</v>
      </c>
      <c r="F154" s="4" t="n">
        <v>34.4</v>
      </c>
      <c r="G154" s="4" t="n">
        <v>2.5</v>
      </c>
      <c r="H154" s="4" t="n">
        <v>62.7</v>
      </c>
      <c r="I154" s="4" t="n">
        <v>80.2</v>
      </c>
      <c r="AY154" s="4" t="n">
        <v>355.7</v>
      </c>
      <c r="BC154" s="4" t="n">
        <v>1474.7</v>
      </c>
      <c r="BY154" s="4" t="n">
        <v>30.1</v>
      </c>
      <c r="CW154" s="4" t="n">
        <v>1029.6</v>
      </c>
      <c r="LX154" s="5" t="n">
        <f aca="false">SUM(B154:LW154)</f>
        <v>3069.9</v>
      </c>
    </row>
    <row r="155" customFormat="false" ht="15" hidden="false" customHeight="false" outlineLevel="0" collapsed="false">
      <c r="A155" s="3" t="s">
        <v>167</v>
      </c>
      <c r="F155" s="4" t="n">
        <v>16.4</v>
      </c>
      <c r="G155" s="4" t="n">
        <v>1.2</v>
      </c>
      <c r="H155" s="4" t="n">
        <v>30</v>
      </c>
      <c r="I155" s="4" t="n">
        <v>38.3</v>
      </c>
      <c r="BC155" s="4" t="n">
        <v>236.7</v>
      </c>
      <c r="BY155" s="4" t="n">
        <v>4.8</v>
      </c>
      <c r="CW155" s="4" t="n">
        <v>165.3</v>
      </c>
      <c r="LX155" s="5" t="n">
        <f aca="false">SUM(B155:LW155)</f>
        <v>492.7</v>
      </c>
    </row>
    <row r="156" customFormat="false" ht="15" hidden="false" customHeight="false" outlineLevel="0" collapsed="false">
      <c r="A156" s="3" t="s">
        <v>168</v>
      </c>
      <c r="F156" s="4" t="n">
        <v>1724.2</v>
      </c>
      <c r="G156" s="4" t="n">
        <v>125.6</v>
      </c>
      <c r="H156" s="4" t="n">
        <v>3142.7</v>
      </c>
      <c r="I156" s="4" t="n">
        <v>4019.4</v>
      </c>
      <c r="AC156" s="4" t="n">
        <v>17.1</v>
      </c>
      <c r="AD156" s="4" t="n">
        <v>43.3</v>
      </c>
      <c r="AE156" s="4" t="n">
        <v>54.5</v>
      </c>
      <c r="AF156" s="4" t="n">
        <v>24.1</v>
      </c>
      <c r="AG156" s="4" t="n">
        <v>110.8</v>
      </c>
      <c r="AH156" s="4" t="n">
        <v>16</v>
      </c>
      <c r="AP156" s="4" t="n">
        <v>36</v>
      </c>
      <c r="AQ156" s="4" t="n">
        <v>33</v>
      </c>
      <c r="BC156" s="4" t="n">
        <v>138.9</v>
      </c>
      <c r="BO156" s="4" t="n">
        <v>16</v>
      </c>
      <c r="LV156" s="4" t="n">
        <v>-34</v>
      </c>
      <c r="LW156" s="4" t="n">
        <v>-10</v>
      </c>
      <c r="LX156" s="5" t="n">
        <f aca="false">SUM(B156:LW156)</f>
        <v>9457.6</v>
      </c>
    </row>
    <row r="157" customFormat="false" ht="15" hidden="false" customHeight="false" outlineLevel="0" collapsed="false">
      <c r="A157" s="3" t="s">
        <v>169</v>
      </c>
      <c r="F157" s="4" t="n">
        <v>17200.6</v>
      </c>
      <c r="G157" s="4" t="n">
        <v>1253.4</v>
      </c>
      <c r="H157" s="4" t="n">
        <v>31351.3</v>
      </c>
      <c r="I157" s="4" t="n">
        <v>40097</v>
      </c>
      <c r="AP157" s="4" t="n">
        <v>583.1</v>
      </c>
      <c r="AQ157" s="4" t="n">
        <v>519.1</v>
      </c>
      <c r="AX157" s="4" t="n">
        <v>2430.4</v>
      </c>
      <c r="AY157" s="4" t="n">
        <v>10</v>
      </c>
      <c r="BC157" s="4" t="n">
        <v>242</v>
      </c>
      <c r="BD157" s="4" t="n">
        <v>241</v>
      </c>
      <c r="BE157" s="4" t="n">
        <v>1</v>
      </c>
      <c r="BF157" s="4" t="n">
        <v>839.1</v>
      </c>
      <c r="BG157" s="4" t="n">
        <v>44</v>
      </c>
      <c r="BH157" s="4" t="n">
        <v>5</v>
      </c>
      <c r="BI157" s="4" t="n">
        <v>1870.3</v>
      </c>
      <c r="BJ157" s="4" t="n">
        <v>316.1</v>
      </c>
      <c r="BL157" s="4" t="n">
        <v>171</v>
      </c>
      <c r="BM157" s="4" t="n">
        <v>2</v>
      </c>
      <c r="BN157" s="4" t="n">
        <v>6</v>
      </c>
      <c r="BQ157" s="4" t="n">
        <v>352.1</v>
      </c>
      <c r="BR157" s="4" t="n">
        <v>10197.7</v>
      </c>
      <c r="BV157" s="4" t="n">
        <v>8520.4</v>
      </c>
      <c r="BY157" s="4" t="n">
        <v>2140.4</v>
      </c>
      <c r="BZ157" s="4" t="n">
        <v>375.1</v>
      </c>
      <c r="CA157" s="4" t="n">
        <v>2099.4</v>
      </c>
      <c r="CD157" s="4" t="n">
        <v>9034.5</v>
      </c>
      <c r="CK157" s="4" t="n">
        <v>232</v>
      </c>
      <c r="CM157" s="4" t="n">
        <v>80</v>
      </c>
      <c r="CO157" s="4" t="n">
        <v>94</v>
      </c>
      <c r="CX157" s="4" t="n">
        <v>196</v>
      </c>
      <c r="CY157" s="4" t="n">
        <v>37</v>
      </c>
      <c r="CZ157" s="4" t="n">
        <v>37</v>
      </c>
      <c r="LV157" s="4" t="n">
        <v>27</v>
      </c>
      <c r="LW157" s="4" t="n">
        <v>-36</v>
      </c>
      <c r="LX157" s="5" t="n">
        <f aca="false">SUM(B157:LW157)</f>
        <v>130569</v>
      </c>
    </row>
    <row r="158" customFormat="false" ht="15" hidden="false" customHeight="false" outlineLevel="0" collapsed="false">
      <c r="A158" s="3" t="s">
        <v>170</v>
      </c>
      <c r="F158" s="4" t="n">
        <v>113.6</v>
      </c>
      <c r="G158" s="4" t="n">
        <v>8.3</v>
      </c>
      <c r="H158" s="4" t="n">
        <v>207</v>
      </c>
      <c r="I158" s="4" t="n">
        <v>264.8</v>
      </c>
      <c r="BG158" s="4" t="n">
        <v>1465.1</v>
      </c>
      <c r="CO158" s="4" t="n">
        <v>453.7</v>
      </c>
      <c r="LX158" s="5" t="n">
        <f aca="false">SUM(B158:LW158)</f>
        <v>2512.5</v>
      </c>
    </row>
    <row r="159" customFormat="false" ht="15" hidden="false" customHeight="false" outlineLevel="0" collapsed="false">
      <c r="A159" s="3" t="s">
        <v>171</v>
      </c>
      <c r="F159" s="4" t="n">
        <v>3697</v>
      </c>
      <c r="G159" s="4" t="n">
        <v>269.4</v>
      </c>
      <c r="H159" s="4" t="n">
        <v>6738.5</v>
      </c>
      <c r="I159" s="4" t="n">
        <v>8618.3</v>
      </c>
      <c r="BB159" s="4" t="n">
        <v>13072.1</v>
      </c>
      <c r="BH159" s="4" t="n">
        <v>1553.3</v>
      </c>
      <c r="CO159" s="4" t="n">
        <v>25931.8</v>
      </c>
      <c r="LV159" s="4" t="n">
        <v>2.9</v>
      </c>
      <c r="LW159" s="4" t="n">
        <v>-1</v>
      </c>
      <c r="LX159" s="5" t="n">
        <f aca="false">SUM(B159:LW159)</f>
        <v>59882.3</v>
      </c>
    </row>
    <row r="160" customFormat="false" ht="15" hidden="false" customHeight="false" outlineLevel="0" collapsed="false">
      <c r="A160" s="3" t="s">
        <v>172</v>
      </c>
      <c r="F160" s="4" t="n">
        <v>54.4</v>
      </c>
      <c r="G160" s="4" t="n">
        <v>4</v>
      </c>
      <c r="H160" s="4" t="n">
        <v>99.1</v>
      </c>
      <c r="I160" s="4" t="n">
        <v>126.7</v>
      </c>
      <c r="BA160" s="4" t="n">
        <v>192</v>
      </c>
      <c r="BH160" s="4" t="n">
        <v>22.8</v>
      </c>
      <c r="CO160" s="4" t="n">
        <v>380.9</v>
      </c>
      <c r="LV160" s="4" t="n">
        <v>0</v>
      </c>
      <c r="LW160" s="4" t="n">
        <v>-0.4</v>
      </c>
      <c r="LX160" s="5" t="n">
        <f aca="false">SUM(B160:LW160)</f>
        <v>879.5</v>
      </c>
    </row>
    <row r="161" customFormat="false" ht="15" hidden="false" customHeight="false" outlineLevel="0" collapsed="false">
      <c r="A161" s="3" t="s">
        <v>173</v>
      </c>
      <c r="F161" s="4" t="n">
        <v>63.7</v>
      </c>
      <c r="G161" s="4" t="n">
        <v>4.6</v>
      </c>
      <c r="H161" s="4" t="n">
        <v>116.2</v>
      </c>
      <c r="I161" s="4" t="n">
        <v>148.6</v>
      </c>
      <c r="BB161" s="4" t="n">
        <v>208.6</v>
      </c>
      <c r="CO161" s="4" t="n">
        <v>413.7</v>
      </c>
      <c r="LV161" s="4" t="n">
        <v>0</v>
      </c>
      <c r="LW161" s="4" t="n">
        <v>0</v>
      </c>
      <c r="LX161" s="5" t="n">
        <f aca="false">SUM(B161:LW161)</f>
        <v>955.4</v>
      </c>
    </row>
    <row r="162" customFormat="false" ht="15" hidden="false" customHeight="false" outlineLevel="0" collapsed="false">
      <c r="A162" s="3" t="s">
        <v>174</v>
      </c>
      <c r="CH162" s="4" t="n">
        <v>1092.2</v>
      </c>
      <c r="CL162" s="4" t="n">
        <v>4110.8</v>
      </c>
      <c r="LV162" s="4" t="n">
        <v>-14434</v>
      </c>
      <c r="LW162" s="4" t="n">
        <v>-5</v>
      </c>
      <c r="LX162" s="5" t="n">
        <f aca="false">SUM(B162:LW162)</f>
        <v>-9236</v>
      </c>
    </row>
    <row r="163" customFormat="false" ht="15" hidden="false" customHeight="false" outlineLevel="0" collapsed="false">
      <c r="A163" s="3" t="s">
        <v>175</v>
      </c>
      <c r="AZ163" s="4" t="n">
        <v>6</v>
      </c>
      <c r="BE163" s="4" t="n">
        <v>58331.4</v>
      </c>
      <c r="BF163" s="4" t="n">
        <v>79</v>
      </c>
      <c r="BO163" s="4" t="n">
        <v>1273.9</v>
      </c>
      <c r="CC163" s="4" t="n">
        <v>1466.9</v>
      </c>
      <c r="CD163" s="4" t="n">
        <v>3350.8</v>
      </c>
      <c r="CH163" s="4" t="n">
        <v>260</v>
      </c>
      <c r="CI163" s="4" t="n">
        <v>64</v>
      </c>
      <c r="CK163" s="4" t="n">
        <v>20512.7</v>
      </c>
      <c r="CM163" s="4" t="n">
        <v>19</v>
      </c>
      <c r="CS163" s="4" t="n">
        <v>2340.9</v>
      </c>
      <c r="LV163" s="4" t="n">
        <v>78338.2</v>
      </c>
      <c r="LW163" s="4" t="n">
        <v>-4694.3</v>
      </c>
      <c r="LX163" s="5" t="n">
        <f aca="false">SUM(B163:LW163)</f>
        <v>161348.5</v>
      </c>
    </row>
    <row r="164" customFormat="false" ht="15" hidden="false" customHeight="false" outlineLevel="0" collapsed="false">
      <c r="A164" s="3" t="s">
        <v>176</v>
      </c>
      <c r="F164" s="4" t="n">
        <v>60277.2</v>
      </c>
      <c r="G164" s="4" t="n">
        <v>4392.2</v>
      </c>
      <c r="H164" s="4" t="n">
        <v>109866.2</v>
      </c>
      <c r="I164" s="4" t="n">
        <v>140514.2</v>
      </c>
      <c r="BE164" s="4" t="n">
        <v>39015.5</v>
      </c>
      <c r="BG164" s="4" t="n">
        <v>623.7</v>
      </c>
      <c r="BO164" s="4" t="n">
        <v>16118.2</v>
      </c>
      <c r="BQ164" s="4" t="n">
        <v>165.7</v>
      </c>
      <c r="CN164" s="4" t="n">
        <v>269</v>
      </c>
      <c r="CO164" s="4" t="n">
        <v>17955.6</v>
      </c>
      <c r="CX164" s="4" t="n">
        <v>30590.1</v>
      </c>
      <c r="CY164" s="4" t="n">
        <v>1818.8</v>
      </c>
      <c r="LV164" s="4" t="n">
        <v>-5.9</v>
      </c>
      <c r="LW164" s="4" t="n">
        <v>-262.7</v>
      </c>
      <c r="LX164" s="5" t="n">
        <f aca="false">SUM(B164:LW164)</f>
        <v>421337.8</v>
      </c>
    </row>
    <row r="165" customFormat="false" ht="15" hidden="false" customHeight="false" outlineLevel="0" collapsed="false">
      <c r="A165" s="3" t="s">
        <v>177</v>
      </c>
      <c r="F165" s="4" t="n">
        <v>1326.3</v>
      </c>
      <c r="G165" s="4" t="n">
        <v>96.6</v>
      </c>
      <c r="H165" s="4" t="n">
        <v>2417.5</v>
      </c>
      <c r="I165" s="4" t="n">
        <v>3091.9</v>
      </c>
      <c r="BE165" s="4" t="n">
        <v>994</v>
      </c>
      <c r="BQ165" s="4" t="n">
        <v>4.2</v>
      </c>
      <c r="BT165" s="4" t="n">
        <v>1221.4</v>
      </c>
      <c r="BU165" s="4" t="n">
        <v>997.5</v>
      </c>
      <c r="CN165" s="4" t="n">
        <v>6.9</v>
      </c>
      <c r="CO165" s="4" t="n">
        <v>457.4</v>
      </c>
      <c r="CY165" s="4" t="n">
        <v>46.3</v>
      </c>
      <c r="LV165" s="4" t="n">
        <v>-0.1</v>
      </c>
      <c r="LW165" s="4" t="n">
        <v>-0.4</v>
      </c>
      <c r="LX165" s="5" t="n">
        <f aca="false">SUM(B165:LW165)</f>
        <v>10659.5</v>
      </c>
    </row>
    <row r="166" customFormat="false" ht="15" hidden="false" customHeight="false" outlineLevel="0" collapsed="false">
      <c r="A166" s="3" t="s">
        <v>178</v>
      </c>
      <c r="F166" s="4" t="n">
        <v>3708.1</v>
      </c>
      <c r="G166" s="4" t="n">
        <v>270.2</v>
      </c>
      <c r="H166" s="4" t="n">
        <v>6758.7</v>
      </c>
      <c r="I166" s="4" t="n">
        <v>8644</v>
      </c>
      <c r="BO166" s="4" t="n">
        <v>8686.2</v>
      </c>
      <c r="CX166" s="4" t="n">
        <v>834.2</v>
      </c>
      <c r="LW166" s="4" t="n">
        <v>-21917.9</v>
      </c>
      <c r="LX166" s="5" t="n">
        <f aca="false">SUM(B166:LW166)</f>
        <v>6983.5</v>
      </c>
    </row>
    <row r="167" customFormat="false" ht="15" hidden="false" customHeight="false" outlineLevel="0" collapsed="false">
      <c r="A167" s="3" t="s">
        <v>179</v>
      </c>
      <c r="F167" s="4" t="n">
        <v>332.3</v>
      </c>
      <c r="G167" s="4" t="n">
        <v>24.2</v>
      </c>
      <c r="H167" s="4" t="n">
        <v>605.6</v>
      </c>
      <c r="I167" s="4" t="n">
        <v>774.5</v>
      </c>
      <c r="AW167" s="4" t="n">
        <v>161</v>
      </c>
      <c r="BL167" s="4" t="n">
        <v>2350.9</v>
      </c>
      <c r="BQ167" s="4" t="n">
        <v>76</v>
      </c>
      <c r="CY167" s="4" t="n">
        <v>115.3</v>
      </c>
      <c r="LW167" s="4" t="n">
        <v>-1130.5</v>
      </c>
      <c r="LX167" s="5" t="n">
        <f aca="false">SUM(B167:LW167)</f>
        <v>3309.3</v>
      </c>
    </row>
    <row r="168" customFormat="false" ht="15" hidden="false" customHeight="false" outlineLevel="0" collapsed="false">
      <c r="A168" s="3" t="s">
        <v>180</v>
      </c>
      <c r="F168" s="4" t="n">
        <v>185.1</v>
      </c>
      <c r="G168" s="4" t="n">
        <v>13.5</v>
      </c>
      <c r="H168" s="4" t="n">
        <v>337.3</v>
      </c>
      <c r="I168" s="4" t="n">
        <v>431.4</v>
      </c>
      <c r="CY168" s="4" t="n">
        <v>38.7</v>
      </c>
      <c r="LW168" s="4" t="n">
        <v>-8.2</v>
      </c>
      <c r="LX168" s="5" t="n">
        <f aca="false">SUM(B168:LW168)</f>
        <v>997.8</v>
      </c>
    </row>
    <row r="169" customFormat="false" ht="15" hidden="false" customHeight="false" outlineLevel="0" collapsed="false">
      <c r="A169" s="3" t="s">
        <v>181</v>
      </c>
      <c r="F169" s="4" t="n">
        <v>2510.5</v>
      </c>
      <c r="G169" s="4" t="n">
        <v>182.9</v>
      </c>
      <c r="H169" s="4" t="n">
        <v>4575.8</v>
      </c>
      <c r="I169" s="4" t="n">
        <v>5852.3</v>
      </c>
      <c r="LV169" s="4" t="n">
        <v>-32</v>
      </c>
      <c r="LW169" s="4" t="n">
        <v>-209</v>
      </c>
      <c r="LX169" s="5" t="n">
        <f aca="false">SUM(B169:LW169)</f>
        <v>12880.5</v>
      </c>
    </row>
    <row r="170" customFormat="false" ht="15" hidden="false" customHeight="false" outlineLevel="0" collapsed="false">
      <c r="A170" s="3" t="s">
        <v>182</v>
      </c>
      <c r="F170" s="4" t="n">
        <v>3255.3</v>
      </c>
      <c r="G170" s="4" t="n">
        <v>237.2</v>
      </c>
      <c r="H170" s="4" t="n">
        <v>5933.4</v>
      </c>
      <c r="I170" s="4" t="n">
        <v>7588.5</v>
      </c>
      <c r="CN170" s="4" t="n">
        <v>931.9</v>
      </c>
      <c r="CO170" s="4" t="n">
        <v>10235.1</v>
      </c>
      <c r="LV170" s="4" t="n">
        <v>-78.3</v>
      </c>
      <c r="LW170" s="4" t="n">
        <v>-173.4</v>
      </c>
      <c r="LX170" s="5" t="n">
        <f aca="false">SUM(B170:LW170)</f>
        <v>27929.7</v>
      </c>
    </row>
    <row r="171" customFormat="false" ht="15" hidden="false" customHeight="false" outlineLevel="0" collapsed="false">
      <c r="A171" s="3" t="s">
        <v>183</v>
      </c>
      <c r="F171" s="4" t="n">
        <v>1992.9</v>
      </c>
      <c r="G171" s="4" t="n">
        <v>145.2</v>
      </c>
      <c r="H171" s="4" t="n">
        <v>3632.5</v>
      </c>
      <c r="I171" s="4" t="n">
        <v>4645.8</v>
      </c>
      <c r="LV171" s="4" t="n">
        <v>-27.7</v>
      </c>
      <c r="LW171" s="4" t="n">
        <v>-2361.5</v>
      </c>
      <c r="LX171" s="5" t="n">
        <f aca="false">SUM(B171:LW171)</f>
        <v>8027.2</v>
      </c>
    </row>
    <row r="172" customFormat="false" ht="15" hidden="false" customHeight="false" outlineLevel="0" collapsed="false">
      <c r="A172" s="3" t="s">
        <v>184</v>
      </c>
      <c r="F172" s="4" t="n">
        <v>12955.3</v>
      </c>
      <c r="G172" s="4" t="n">
        <v>944</v>
      </c>
      <c r="H172" s="4" t="n">
        <v>23613.3</v>
      </c>
      <c r="I172" s="4" t="n">
        <v>30200.5</v>
      </c>
      <c r="BG172" s="4" t="n">
        <v>705.5</v>
      </c>
      <c r="BI172" s="4" t="n">
        <v>1928.7</v>
      </c>
      <c r="BL172" s="4" t="n">
        <v>243.2</v>
      </c>
      <c r="BO172" s="4" t="n">
        <v>4431.2</v>
      </c>
      <c r="BQ172" s="4" t="n">
        <v>1092.7</v>
      </c>
      <c r="CH172" s="4" t="n">
        <v>1167.8</v>
      </c>
      <c r="CN172" s="4" t="n">
        <v>23.8</v>
      </c>
      <c r="CO172" s="4" t="n">
        <v>796.3</v>
      </c>
      <c r="CX172" s="4" t="n">
        <v>1200.3</v>
      </c>
      <c r="CY172" s="4" t="n">
        <v>266.8</v>
      </c>
      <c r="LV172" s="4" t="n">
        <v>1904.5</v>
      </c>
      <c r="LW172" s="4" t="n">
        <v>-29979.8</v>
      </c>
      <c r="LX172" s="5" t="n">
        <f aca="false">SUM(B172:LW172)</f>
        <v>51494.1</v>
      </c>
    </row>
    <row r="173" customFormat="false" ht="15" hidden="false" customHeight="false" outlineLevel="0" collapsed="false">
      <c r="A173" s="3" t="s">
        <v>185</v>
      </c>
      <c r="F173" s="4" t="n">
        <v>2916.6</v>
      </c>
      <c r="G173" s="4" t="n">
        <v>212.5</v>
      </c>
      <c r="H173" s="4" t="n">
        <v>5316</v>
      </c>
      <c r="I173" s="4" t="n">
        <v>6799</v>
      </c>
      <c r="BI173" s="4" t="n">
        <v>1478.3</v>
      </c>
      <c r="BQ173" s="4" t="n">
        <v>837.6</v>
      </c>
      <c r="BZ173" s="4" t="n">
        <v>1876.8</v>
      </c>
      <c r="CY173" s="4" t="n">
        <v>204.5</v>
      </c>
      <c r="LV173" s="4" t="n">
        <v>252.4</v>
      </c>
      <c r="LW173" s="4" t="n">
        <v>-0.1</v>
      </c>
      <c r="LX173" s="5" t="n">
        <f aca="false">SUM(B173:LW173)</f>
        <v>19893.6</v>
      </c>
    </row>
    <row r="174" customFormat="false" ht="15" hidden="false" customHeight="false" outlineLevel="0" collapsed="false">
      <c r="A174" s="3" t="s">
        <v>186</v>
      </c>
      <c r="F174" s="4" t="n">
        <v>3349.8</v>
      </c>
      <c r="G174" s="4" t="n">
        <v>244.1</v>
      </c>
      <c r="H174" s="4" t="n">
        <v>6105.5</v>
      </c>
      <c r="I174" s="4" t="n">
        <v>7808.7</v>
      </c>
      <c r="BI174" s="4" t="n">
        <v>985.8</v>
      </c>
      <c r="BQ174" s="4" t="n">
        <v>558.5</v>
      </c>
      <c r="CN174" s="4" t="n">
        <v>12.2</v>
      </c>
      <c r="CO174" s="4" t="n">
        <v>276.3</v>
      </c>
      <c r="CX174" s="4" t="n">
        <v>613.5</v>
      </c>
      <c r="CY174" s="4" t="n">
        <v>136.4</v>
      </c>
      <c r="LV174" s="4" t="n">
        <v>427.3</v>
      </c>
      <c r="LX174" s="5" t="n">
        <f aca="false">SUM(B174:LW174)</f>
        <v>20518.1</v>
      </c>
    </row>
    <row r="175" customFormat="false" ht="15" hidden="false" customHeight="false" outlineLevel="0" collapsed="false">
      <c r="A175" s="3" t="s">
        <v>187</v>
      </c>
      <c r="F175" s="4" t="n">
        <v>367.6</v>
      </c>
      <c r="G175" s="4" t="n">
        <v>26.8</v>
      </c>
      <c r="H175" s="4" t="n">
        <v>670.1</v>
      </c>
      <c r="I175" s="4" t="n">
        <v>857</v>
      </c>
      <c r="AW175" s="4" t="n">
        <v>31</v>
      </c>
      <c r="BI175" s="4" t="n">
        <v>587.4</v>
      </c>
      <c r="BK175" s="4" t="n">
        <v>3643</v>
      </c>
      <c r="BQ175" s="4" t="n">
        <v>332.8</v>
      </c>
      <c r="CY175" s="4" t="n">
        <v>83.1</v>
      </c>
      <c r="LV175" s="4" t="n">
        <v>49.3</v>
      </c>
      <c r="LW175" s="4" t="n">
        <v>-148.7</v>
      </c>
      <c r="LX175" s="5" t="n">
        <f aca="false">SUM(B175:LW175)</f>
        <v>6499.4</v>
      </c>
    </row>
    <row r="176" customFormat="false" ht="15" hidden="false" customHeight="false" outlineLevel="0" collapsed="false">
      <c r="A176" s="3" t="s">
        <v>188</v>
      </c>
      <c r="F176" s="4" t="n">
        <v>793</v>
      </c>
      <c r="G176" s="4" t="n">
        <v>57.8</v>
      </c>
      <c r="H176" s="4" t="n">
        <v>1445.4</v>
      </c>
      <c r="I176" s="4" t="n">
        <v>1848.6</v>
      </c>
      <c r="BI176" s="4" t="n">
        <v>44</v>
      </c>
      <c r="BJ176" s="4" t="n">
        <v>4495.1</v>
      </c>
      <c r="BM176" s="4" t="n">
        <v>9</v>
      </c>
      <c r="BN176" s="4" t="n">
        <v>376.2</v>
      </c>
      <c r="BP176" s="4" t="n">
        <v>606.3</v>
      </c>
      <c r="BS176" s="4" t="n">
        <v>3281.5</v>
      </c>
      <c r="CY176" s="4" t="n">
        <v>35.4</v>
      </c>
      <c r="LV176" s="4" t="n">
        <v>-7665.3</v>
      </c>
      <c r="LX176" s="5" t="n">
        <f aca="false">SUM(B176:LW176)</f>
        <v>5327</v>
      </c>
    </row>
    <row r="177" customFormat="false" ht="15" hidden="false" customHeight="false" outlineLevel="0" collapsed="false">
      <c r="A177" s="3" t="s">
        <v>189</v>
      </c>
      <c r="F177" s="4" t="n">
        <v>23591.6</v>
      </c>
      <c r="G177" s="4" t="n">
        <v>1719</v>
      </c>
      <c r="H177" s="4" t="n">
        <v>43000</v>
      </c>
      <c r="I177" s="4" t="n">
        <v>54995.3</v>
      </c>
      <c r="AW177" s="4" t="n">
        <v>67.4</v>
      </c>
      <c r="BQ177" s="4" t="n">
        <v>124.3</v>
      </c>
      <c r="CN177" s="4" t="n">
        <v>142.7</v>
      </c>
      <c r="CO177" s="4" t="n">
        <v>1744.4</v>
      </c>
      <c r="CX177" s="4" t="n">
        <v>1078</v>
      </c>
      <c r="CY177" s="4" t="n">
        <v>120.2</v>
      </c>
      <c r="LV177" s="4" t="n">
        <v>45175.9</v>
      </c>
      <c r="LW177" s="4" t="n">
        <v>-81818.9</v>
      </c>
      <c r="LX177" s="5" t="n">
        <f aca="false">SUM(B177:LW177)</f>
        <v>89939.9</v>
      </c>
    </row>
    <row r="178" customFormat="false" ht="15" hidden="false" customHeight="false" outlineLevel="0" collapsed="false">
      <c r="A178" s="3" t="s">
        <v>190</v>
      </c>
      <c r="F178" s="4" t="n">
        <v>9837.9</v>
      </c>
      <c r="G178" s="4" t="n">
        <v>716.9</v>
      </c>
      <c r="H178" s="4" t="n">
        <v>17931.4</v>
      </c>
      <c r="I178" s="4" t="n">
        <v>22933.5</v>
      </c>
      <c r="AW178" s="4" t="n">
        <v>7.9</v>
      </c>
      <c r="BJ178" s="4" t="n">
        <v>18906.3</v>
      </c>
      <c r="BN178" s="4" t="n">
        <v>379.1</v>
      </c>
      <c r="BO178" s="4" t="n">
        <v>18821.8</v>
      </c>
      <c r="BQ178" s="4" t="n">
        <v>94.4</v>
      </c>
      <c r="CY178" s="4" t="n">
        <v>91.3</v>
      </c>
      <c r="LV178" s="4" t="n">
        <v>-20220.7</v>
      </c>
      <c r="LW178" s="4" t="n">
        <v>-15182.8</v>
      </c>
      <c r="LX178" s="5" t="n">
        <f aca="false">SUM(B178:LW178)</f>
        <v>54317</v>
      </c>
    </row>
    <row r="179" customFormat="false" ht="15" hidden="false" customHeight="false" outlineLevel="0" collapsed="false">
      <c r="A179" s="3" t="s">
        <v>191</v>
      </c>
      <c r="F179" s="4" t="n">
        <v>7733.5</v>
      </c>
      <c r="G179" s="4" t="n">
        <v>563.5</v>
      </c>
      <c r="H179" s="4" t="n">
        <v>14095.7</v>
      </c>
      <c r="I179" s="4" t="n">
        <v>18027.9</v>
      </c>
      <c r="AW179" s="4" t="n">
        <v>5.8</v>
      </c>
      <c r="BJ179" s="4" t="n">
        <v>13818.2</v>
      </c>
      <c r="BQ179" s="4" t="n">
        <v>99.1</v>
      </c>
      <c r="BR179" s="4" t="n">
        <v>13980.7</v>
      </c>
      <c r="CN179" s="4" t="n">
        <v>2.4</v>
      </c>
      <c r="CO179" s="4" t="n">
        <v>29.6</v>
      </c>
      <c r="CX179" s="4" t="n">
        <v>859.5</v>
      </c>
      <c r="CY179" s="4" t="n">
        <v>97.8</v>
      </c>
      <c r="LV179" s="4" t="n">
        <v>-16012</v>
      </c>
      <c r="LW179" s="4" t="n">
        <v>-51.7</v>
      </c>
      <c r="LX179" s="5" t="n">
        <f aca="false">SUM(B179:LW179)</f>
        <v>53250</v>
      </c>
    </row>
    <row r="180" customFormat="false" ht="15" hidden="false" customHeight="false" outlineLevel="0" collapsed="false">
      <c r="A180" s="3" t="s">
        <v>192</v>
      </c>
      <c r="F180" s="4" t="n">
        <v>57.8</v>
      </c>
      <c r="G180" s="4" t="n">
        <v>4.2</v>
      </c>
      <c r="H180" s="4" t="n">
        <v>105.3</v>
      </c>
      <c r="I180" s="4" t="n">
        <v>134.7</v>
      </c>
      <c r="AW180" s="4" t="n">
        <v>0</v>
      </c>
      <c r="BJ180" s="4" t="n">
        <v>84.9</v>
      </c>
      <c r="CY180" s="4" t="n">
        <v>0.4</v>
      </c>
      <c r="LV180" s="4" t="n">
        <v>0.1</v>
      </c>
      <c r="LW180" s="4" t="n">
        <v>-134.4</v>
      </c>
      <c r="LX180" s="5" t="n">
        <f aca="false">SUM(B180:LW180)</f>
        <v>253</v>
      </c>
    </row>
    <row r="181" customFormat="false" ht="15" hidden="false" customHeight="false" outlineLevel="0" collapsed="false">
      <c r="A181" s="3" t="s">
        <v>193</v>
      </c>
      <c r="F181" s="4" t="n">
        <v>126.7</v>
      </c>
      <c r="G181" s="4" t="n">
        <v>9.2</v>
      </c>
      <c r="H181" s="4" t="n">
        <v>230.9</v>
      </c>
      <c r="I181" s="4" t="n">
        <v>295.4</v>
      </c>
      <c r="BQ181" s="4" t="n">
        <v>0.3</v>
      </c>
      <c r="CY181" s="4" t="n">
        <v>1.2</v>
      </c>
      <c r="LV181" s="4" t="n">
        <v>0.2</v>
      </c>
      <c r="LX181" s="5" t="n">
        <f aca="false">SUM(B181:LW181)</f>
        <v>663.9</v>
      </c>
    </row>
    <row r="182" customFormat="false" ht="15" hidden="false" customHeight="false" outlineLevel="0" collapsed="false">
      <c r="A182" s="3" t="s">
        <v>194</v>
      </c>
      <c r="F182" s="4" t="n">
        <v>300.6</v>
      </c>
      <c r="G182" s="4" t="n">
        <v>21.9</v>
      </c>
      <c r="H182" s="4" t="n">
        <v>547.9</v>
      </c>
      <c r="I182" s="4" t="n">
        <v>700.7</v>
      </c>
      <c r="AW182" s="4" t="n">
        <v>3.9</v>
      </c>
      <c r="BG182" s="4" t="n">
        <v>58</v>
      </c>
      <c r="BJ182" s="4" t="n">
        <v>9457.7</v>
      </c>
      <c r="BP182" s="4" t="n">
        <v>34</v>
      </c>
      <c r="CY182" s="4" t="n">
        <v>3.1</v>
      </c>
      <c r="LV182" s="4" t="n">
        <v>-9016</v>
      </c>
      <c r="LW182" s="4" t="n">
        <v>-300.9</v>
      </c>
      <c r="LX182" s="5" t="n">
        <f aca="false">SUM(B182:LW182)</f>
        <v>1810.9</v>
      </c>
    </row>
    <row r="183" customFormat="false" ht="15" hidden="false" customHeight="false" outlineLevel="0" collapsed="false">
      <c r="A183" s="3" t="s">
        <v>195</v>
      </c>
      <c r="AP183" s="4" t="n">
        <v>70420.3</v>
      </c>
      <c r="AQ183" s="4" t="n">
        <v>59882.9</v>
      </c>
      <c r="AR183" s="4" t="n">
        <v>1763.4</v>
      </c>
      <c r="AS183" s="4" t="n">
        <v>707.7</v>
      </c>
      <c r="AT183" s="4" t="n">
        <v>262.9</v>
      </c>
      <c r="AU183" s="4" t="n">
        <v>7278.8</v>
      </c>
      <c r="AV183" s="4" t="n">
        <v>484.6</v>
      </c>
      <c r="AW183" s="4" t="n">
        <v>20657.1</v>
      </c>
      <c r="BG183" s="4" t="n">
        <v>60</v>
      </c>
      <c r="BK183" s="4" t="n">
        <v>37</v>
      </c>
      <c r="LV183" s="4" t="n">
        <v>66</v>
      </c>
      <c r="LW183" s="4" t="n">
        <v>-1166.8</v>
      </c>
      <c r="LX183" s="5" t="n">
        <f aca="false">SUM(B183:LW183)</f>
        <v>160453.9</v>
      </c>
    </row>
    <row r="184" customFormat="false" ht="15" hidden="false" customHeight="false" outlineLevel="0" collapsed="false">
      <c r="A184" s="3" t="s">
        <v>196</v>
      </c>
      <c r="F184" s="4" t="n">
        <v>1344</v>
      </c>
      <c r="G184" s="4" t="n">
        <v>97.9</v>
      </c>
      <c r="H184" s="4" t="n">
        <v>2449.7</v>
      </c>
      <c r="I184" s="4" t="n">
        <v>3133.1</v>
      </c>
      <c r="CN184" s="4" t="n">
        <v>326.3</v>
      </c>
      <c r="CO184" s="4" t="n">
        <v>7630.4</v>
      </c>
      <c r="CQ184" s="4" t="n">
        <v>2803.7</v>
      </c>
      <c r="CY184" s="4" t="n">
        <v>57</v>
      </c>
      <c r="LV184" s="4" t="n">
        <v>-9834.6</v>
      </c>
      <c r="LW184" s="4" t="n">
        <v>-13.7</v>
      </c>
      <c r="LX184" s="5" t="n">
        <f aca="false">SUM(B184:LW184)</f>
        <v>7993.8</v>
      </c>
    </row>
    <row r="185" customFormat="false" ht="15" hidden="false" customHeight="false" outlineLevel="0" collapsed="false">
      <c r="A185" s="3" t="s">
        <v>197</v>
      </c>
      <c r="F185" s="4" t="n">
        <v>23141.9</v>
      </c>
      <c r="G185" s="4" t="n">
        <v>1686.3</v>
      </c>
      <c r="H185" s="4" t="n">
        <v>42180.4</v>
      </c>
      <c r="I185" s="4" t="n">
        <v>53946.9</v>
      </c>
      <c r="BO185" s="4" t="n">
        <v>1765.1</v>
      </c>
      <c r="BQ185" s="4" t="n">
        <v>1531.1</v>
      </c>
      <c r="CX185" s="4" t="n">
        <v>4130.3</v>
      </c>
      <c r="CY185" s="4" t="n">
        <v>980.2</v>
      </c>
      <c r="LV185" s="4" t="n">
        <v>9844.9</v>
      </c>
      <c r="LW185" s="4" t="n">
        <v>-8119.7</v>
      </c>
      <c r="LX185" s="5" t="n">
        <f aca="false">SUM(B185:LW185)</f>
        <v>131087.4</v>
      </c>
    </row>
    <row r="186" customFormat="false" ht="15" hidden="false" customHeight="false" outlineLevel="0" collapsed="false">
      <c r="A186" s="3" t="s">
        <v>198</v>
      </c>
      <c r="F186" s="4" t="n">
        <v>3421.9</v>
      </c>
      <c r="G186" s="4" t="n">
        <v>249.3</v>
      </c>
      <c r="H186" s="4" t="n">
        <v>6237</v>
      </c>
      <c r="I186" s="4" t="n">
        <v>7976.8</v>
      </c>
      <c r="BR186" s="4" t="n">
        <v>5719.2</v>
      </c>
      <c r="CN186" s="4" t="n">
        <v>7</v>
      </c>
      <c r="CO186" s="4" t="n">
        <v>68</v>
      </c>
      <c r="CX186" s="4" t="n">
        <v>110.1</v>
      </c>
      <c r="CY186" s="4" t="n">
        <v>23</v>
      </c>
      <c r="LV186" s="4" t="n">
        <v>10</v>
      </c>
      <c r="LW186" s="4" t="n">
        <v>-12392.1</v>
      </c>
      <c r="LX186" s="5" t="n">
        <f aca="false">SUM(B186:LW186)</f>
        <v>11430.2</v>
      </c>
    </row>
    <row r="187" customFormat="false" ht="15" hidden="false" customHeight="false" outlineLevel="0" collapsed="false">
      <c r="A187" s="3" t="s">
        <v>199</v>
      </c>
      <c r="F187" s="4" t="n">
        <v>10832.3</v>
      </c>
      <c r="G187" s="4" t="n">
        <v>789.3</v>
      </c>
      <c r="H187" s="4" t="n">
        <v>19743.8</v>
      </c>
      <c r="I187" s="4" t="n">
        <v>25251.5</v>
      </c>
      <c r="BI187" s="4" t="n">
        <v>67.1</v>
      </c>
      <c r="BJ187" s="4" t="n">
        <v>824.9</v>
      </c>
      <c r="BK187" s="4" t="n">
        <v>2984.4</v>
      </c>
      <c r="BL187" s="4" t="n">
        <v>7</v>
      </c>
      <c r="BN187" s="4" t="n">
        <v>25</v>
      </c>
      <c r="BO187" s="4" t="n">
        <v>87.1</v>
      </c>
      <c r="BP187" s="4" t="n">
        <v>1454.6</v>
      </c>
      <c r="BQ187" s="4" t="n">
        <v>15</v>
      </c>
      <c r="BR187" s="4" t="n">
        <v>9313.5</v>
      </c>
      <c r="CN187" s="4" t="n">
        <v>131</v>
      </c>
      <c r="CO187" s="4" t="n">
        <v>1183.3</v>
      </c>
      <c r="CX187" s="4" t="n">
        <v>258.3</v>
      </c>
      <c r="CY187" s="4" t="n">
        <v>39.5</v>
      </c>
      <c r="LV187" s="4" t="n">
        <v>-552.7</v>
      </c>
      <c r="LW187" s="4" t="n">
        <v>-28712.2</v>
      </c>
      <c r="LX187" s="5" t="n">
        <f aca="false">SUM(B187:LW187)</f>
        <v>43742.7</v>
      </c>
    </row>
    <row r="188" customFormat="false" ht="15" hidden="false" customHeight="false" outlineLevel="0" collapsed="false">
      <c r="A188" s="3" t="s">
        <v>200</v>
      </c>
      <c r="F188" s="4" t="n">
        <v>1038.7</v>
      </c>
      <c r="G188" s="4" t="n">
        <v>75.7</v>
      </c>
      <c r="H188" s="4" t="n">
        <v>1893.2</v>
      </c>
      <c r="I188" s="4" t="n">
        <v>2421.4</v>
      </c>
      <c r="CN188" s="4" t="n">
        <v>214.5</v>
      </c>
      <c r="CY188" s="4" t="n">
        <v>9.5</v>
      </c>
      <c r="LV188" s="4" t="n">
        <v>1394.8</v>
      </c>
      <c r="LW188" s="4" t="n">
        <v>-152</v>
      </c>
      <c r="LX188" s="5" t="n">
        <f aca="false">SUM(B188:LW188)</f>
        <v>6895.8</v>
      </c>
    </row>
    <row r="189" customFormat="false" ht="15" hidden="false" customHeight="false" outlineLevel="0" collapsed="false">
      <c r="A189" s="3" t="s">
        <v>201</v>
      </c>
      <c r="F189" s="4" t="n">
        <v>3531.8</v>
      </c>
      <c r="G189" s="4" t="n">
        <v>257.4</v>
      </c>
      <c r="H189" s="4" t="n">
        <v>6437.4</v>
      </c>
      <c r="I189" s="4" t="n">
        <v>8233.1</v>
      </c>
      <c r="BC189" s="4" t="n">
        <v>5356.7</v>
      </c>
      <c r="BM189" s="4" t="n">
        <v>6</v>
      </c>
      <c r="BQ189" s="4" t="n">
        <v>1726.1</v>
      </c>
      <c r="BZ189" s="4" t="n">
        <v>194.5</v>
      </c>
      <c r="CN189" s="4" t="n">
        <v>83.2</v>
      </c>
      <c r="CO189" s="4" t="n">
        <v>914.2</v>
      </c>
      <c r="LV189" s="4" t="n">
        <v>125.3</v>
      </c>
      <c r="LW189" s="4" t="n">
        <v>-14118.5</v>
      </c>
      <c r="LX189" s="5" t="n">
        <f aca="false">SUM(B189:LW189)</f>
        <v>12747.2</v>
      </c>
    </row>
    <row r="190" customFormat="false" ht="15" hidden="false" customHeight="false" outlineLevel="0" collapsed="false">
      <c r="A190" s="3" t="s">
        <v>202</v>
      </c>
      <c r="F190" s="4" t="n">
        <v>4768.7</v>
      </c>
      <c r="G190" s="4" t="n">
        <v>347.5</v>
      </c>
      <c r="H190" s="4" t="n">
        <v>8691.8</v>
      </c>
      <c r="I190" s="4" t="n">
        <v>11116.4</v>
      </c>
      <c r="BI190" s="4" t="n">
        <v>560.5</v>
      </c>
      <c r="BJ190" s="4" t="n">
        <v>1710.5</v>
      </c>
      <c r="BK190" s="4" t="n">
        <v>1367.2</v>
      </c>
      <c r="BN190" s="4" t="n">
        <v>402.4</v>
      </c>
      <c r="BO190" s="4" t="n">
        <v>22</v>
      </c>
      <c r="BP190" s="4" t="n">
        <v>55</v>
      </c>
      <c r="BQ190" s="4" t="n">
        <v>22</v>
      </c>
      <c r="BR190" s="4" t="n">
        <v>3342</v>
      </c>
      <c r="CX190" s="4" t="n">
        <v>131.1</v>
      </c>
      <c r="CY190" s="4" t="n">
        <v>26</v>
      </c>
      <c r="LV190" s="4" t="n">
        <v>127.1</v>
      </c>
      <c r="LW190" s="4" t="n">
        <v>-16359.3</v>
      </c>
      <c r="LX190" s="5" t="n">
        <f aca="false">SUM(B190:LW190)</f>
        <v>16330.9</v>
      </c>
    </row>
    <row r="191" customFormat="false" ht="15" hidden="false" customHeight="false" outlineLevel="0" collapsed="false">
      <c r="A191" s="3" t="s">
        <v>203</v>
      </c>
      <c r="F191" s="4" t="n">
        <v>10829.2</v>
      </c>
      <c r="G191" s="4" t="n">
        <v>789.1</v>
      </c>
      <c r="H191" s="4" t="n">
        <v>19738.2</v>
      </c>
      <c r="I191" s="4" t="n">
        <v>25244.3</v>
      </c>
      <c r="BL191" s="4" t="n">
        <v>31</v>
      </c>
      <c r="CO191" s="4" t="n">
        <v>17.8</v>
      </c>
      <c r="CX191" s="4" t="n">
        <v>39.4</v>
      </c>
      <c r="CY191" s="4" t="n">
        <v>7.1</v>
      </c>
      <c r="LV191" s="4" t="n">
        <v>718.3</v>
      </c>
      <c r="LX191" s="5" t="n">
        <f aca="false">SUM(B191:LW191)</f>
        <v>57414.4</v>
      </c>
    </row>
    <row r="192" customFormat="false" ht="15" hidden="false" customHeight="false" outlineLevel="0" collapsed="false">
      <c r="A192" s="3" t="s">
        <v>204</v>
      </c>
      <c r="F192" s="4" t="n">
        <v>4471.9</v>
      </c>
      <c r="G192" s="4" t="n">
        <v>325.9</v>
      </c>
      <c r="H192" s="4" t="n">
        <v>8150.8</v>
      </c>
      <c r="I192" s="4" t="n">
        <v>10424.5</v>
      </c>
      <c r="BG192" s="4" t="n">
        <v>3</v>
      </c>
      <c r="BH192" s="4" t="n">
        <v>2</v>
      </c>
      <c r="BI192" s="4" t="n">
        <v>134</v>
      </c>
      <c r="BJ192" s="4" t="n">
        <v>58</v>
      </c>
      <c r="BN192" s="4" t="n">
        <v>2</v>
      </c>
      <c r="BO192" s="4" t="n">
        <v>34</v>
      </c>
      <c r="BQ192" s="4" t="n">
        <v>2</v>
      </c>
      <c r="BR192" s="4" t="n">
        <v>4570.9</v>
      </c>
      <c r="CO192" s="4" t="n">
        <v>1.2</v>
      </c>
      <c r="CX192" s="4" t="n">
        <v>2.6</v>
      </c>
      <c r="CY192" s="4" t="n">
        <v>0.9</v>
      </c>
      <c r="LV192" s="4" t="n">
        <v>461.5</v>
      </c>
      <c r="LW192" s="4" t="n">
        <v>-16538.8</v>
      </c>
      <c r="LX192" s="5" t="n">
        <f aca="false">SUM(B192:LW192)</f>
        <v>12106.4</v>
      </c>
    </row>
    <row r="193" customFormat="false" ht="15" hidden="false" customHeight="false" outlineLevel="0" collapsed="false">
      <c r="A193" s="3" t="s">
        <v>205</v>
      </c>
      <c r="F193" s="4" t="n">
        <v>60554.4</v>
      </c>
      <c r="G193" s="4" t="n">
        <v>4412.4</v>
      </c>
      <c r="H193" s="4" t="n">
        <v>110371.3</v>
      </c>
      <c r="I193" s="4" t="n">
        <v>141160.3</v>
      </c>
      <c r="CL193" s="4" t="n">
        <v>11531.2</v>
      </c>
      <c r="CY193" s="4" t="n">
        <v>1438.9</v>
      </c>
      <c r="LV193" s="4" t="n">
        <v>-645.4</v>
      </c>
      <c r="LX193" s="5" t="n">
        <f aca="false">SUM(B193:LW193)</f>
        <v>328823.1</v>
      </c>
    </row>
    <row r="194" customFormat="false" ht="15" hidden="false" customHeight="false" outlineLevel="0" collapsed="false">
      <c r="A194" s="3" t="s">
        <v>206</v>
      </c>
      <c r="F194" s="4" t="n">
        <v>17922</v>
      </c>
      <c r="G194" s="4" t="n">
        <v>1305.9</v>
      </c>
      <c r="H194" s="4" t="n">
        <v>32666.2</v>
      </c>
      <c r="I194" s="4" t="n">
        <v>41778.7</v>
      </c>
      <c r="CL194" s="4" t="n">
        <v>3152.7</v>
      </c>
      <c r="CN194" s="4" t="n">
        <v>2939.7</v>
      </c>
      <c r="CO194" s="4" t="n">
        <v>44399.5</v>
      </c>
      <c r="CY194" s="4" t="n">
        <v>446.3</v>
      </c>
      <c r="LV194" s="4" t="n">
        <v>3309.9</v>
      </c>
      <c r="LW194" s="4" t="n">
        <v>-11213.6</v>
      </c>
      <c r="LX194" s="5" t="n">
        <f aca="false">SUM(B194:LW194)</f>
        <v>136707.3</v>
      </c>
    </row>
    <row r="195" customFormat="false" ht="15" hidden="false" customHeight="false" outlineLevel="0" collapsed="false">
      <c r="A195" s="3" t="s">
        <v>207</v>
      </c>
      <c r="F195" s="4" t="n">
        <v>922.4</v>
      </c>
      <c r="G195" s="4" t="n">
        <v>67.2</v>
      </c>
      <c r="H195" s="4" t="n">
        <v>1681.2</v>
      </c>
      <c r="I195" s="4" t="n">
        <v>2150.2</v>
      </c>
      <c r="BR195" s="4" t="n">
        <v>4322.6</v>
      </c>
      <c r="CL195" s="4" t="n">
        <v>47</v>
      </c>
      <c r="CN195" s="4" t="n">
        <v>800.3</v>
      </c>
      <c r="CO195" s="4" t="n">
        <v>976.1</v>
      </c>
      <c r="CY195" s="4" t="n">
        <v>22.9</v>
      </c>
      <c r="LV195" s="4" t="n">
        <v>-2922.7</v>
      </c>
      <c r="LW195" s="4" t="n">
        <v>-3179.6</v>
      </c>
      <c r="LX195" s="5" t="n">
        <f aca="false">SUM(B195:LW195)</f>
        <v>4887.6</v>
      </c>
    </row>
    <row r="196" customFormat="false" ht="15" hidden="false" customHeight="false" outlineLevel="0" collapsed="false">
      <c r="A196" s="3" t="s">
        <v>208</v>
      </c>
      <c r="F196" s="4" t="n">
        <v>5223.2</v>
      </c>
      <c r="G196" s="4" t="n">
        <v>380.6</v>
      </c>
      <c r="H196" s="4" t="n">
        <v>9520.3</v>
      </c>
      <c r="I196" s="4" t="n">
        <v>12176.1</v>
      </c>
      <c r="BR196" s="4" t="n">
        <v>9892.4</v>
      </c>
      <c r="CL196" s="4" t="n">
        <v>176.3</v>
      </c>
      <c r="CN196" s="4" t="n">
        <v>22.9</v>
      </c>
      <c r="CO196" s="4" t="n">
        <v>8591.8</v>
      </c>
      <c r="CX196" s="4" t="n">
        <v>1583.5</v>
      </c>
      <c r="CY196" s="4" t="n">
        <v>130.1</v>
      </c>
      <c r="LV196" s="4" t="n">
        <v>-8789.2</v>
      </c>
      <c r="LW196" s="4" t="n">
        <v>-3396.7</v>
      </c>
      <c r="LX196" s="5" t="n">
        <f aca="false">SUM(B196:LW196)</f>
        <v>35511.3</v>
      </c>
    </row>
    <row r="197" customFormat="false" ht="15" hidden="false" customHeight="false" outlineLevel="0" collapsed="false">
      <c r="A197" s="3" t="s">
        <v>209</v>
      </c>
      <c r="F197" s="4" t="n">
        <v>131.1</v>
      </c>
      <c r="G197" s="4" t="n">
        <v>9.6</v>
      </c>
      <c r="H197" s="4" t="n">
        <v>239</v>
      </c>
      <c r="I197" s="4" t="n">
        <v>305.7</v>
      </c>
      <c r="BP197" s="4" t="n">
        <v>6732.5</v>
      </c>
      <c r="CL197" s="4" t="n">
        <v>22.3</v>
      </c>
      <c r="CO197" s="4" t="n">
        <v>207.1</v>
      </c>
      <c r="CY197" s="4" t="n">
        <v>4.1</v>
      </c>
      <c r="LV197" s="4" t="n">
        <v>-8832</v>
      </c>
      <c r="LW197" s="4" t="n">
        <v>-186.2</v>
      </c>
      <c r="LX197" s="5" t="n">
        <f aca="false">SUM(B197:LW197)</f>
        <v>-1366.8</v>
      </c>
    </row>
    <row r="198" customFormat="false" ht="15" hidden="false" customHeight="false" outlineLevel="0" collapsed="false">
      <c r="A198" s="3" t="s">
        <v>210</v>
      </c>
      <c r="F198" s="4" t="n">
        <v>9342.5</v>
      </c>
      <c r="G198" s="4" t="n">
        <v>680.8</v>
      </c>
      <c r="H198" s="4" t="n">
        <v>17028.3</v>
      </c>
      <c r="I198" s="4" t="n">
        <v>21778.5</v>
      </c>
      <c r="LV198" s="4" t="n">
        <v>2067.9</v>
      </c>
      <c r="LW198" s="4" t="n">
        <v>-472.9</v>
      </c>
      <c r="LX198" s="5" t="n">
        <f aca="false">SUM(B198:LW198)</f>
        <v>50425.1</v>
      </c>
    </row>
    <row r="199" customFormat="false" ht="15" hidden="false" customHeight="false" outlineLevel="0" collapsed="false">
      <c r="A199" s="3" t="s">
        <v>211</v>
      </c>
      <c r="F199" s="4" t="n">
        <v>4915.9</v>
      </c>
      <c r="G199" s="4" t="n">
        <v>358.2</v>
      </c>
      <c r="H199" s="4" t="n">
        <v>8960.1</v>
      </c>
      <c r="I199" s="4" t="n">
        <v>11459.6</v>
      </c>
      <c r="LV199" s="4" t="n">
        <v>701.4</v>
      </c>
      <c r="LW199" s="4" t="n">
        <v>-3126.7</v>
      </c>
      <c r="LX199" s="5" t="n">
        <f aca="false">SUM(B199:LW199)</f>
        <v>23268.5</v>
      </c>
    </row>
    <row r="200" customFormat="false" ht="15" hidden="false" customHeight="false" outlineLevel="0" collapsed="false">
      <c r="A200" s="3" t="s">
        <v>212</v>
      </c>
      <c r="F200" s="4" t="n">
        <v>7078.9</v>
      </c>
      <c r="G200" s="4" t="n">
        <v>515.8</v>
      </c>
      <c r="H200" s="4" t="n">
        <v>12902.6</v>
      </c>
      <c r="I200" s="4" t="n">
        <v>16501.9</v>
      </c>
      <c r="AM200" s="4" t="n">
        <v>73</v>
      </c>
      <c r="BF200" s="4" t="n">
        <v>203.9</v>
      </c>
      <c r="BN200" s="4" t="n">
        <v>7</v>
      </c>
      <c r="BO200" s="4" t="n">
        <v>24</v>
      </c>
      <c r="BP200" s="4" t="n">
        <v>28</v>
      </c>
      <c r="BQ200" s="4" t="n">
        <v>2</v>
      </c>
      <c r="BR200" s="4" t="n">
        <v>1670.5</v>
      </c>
      <c r="BT200" s="4" t="n">
        <v>15875.7</v>
      </c>
      <c r="BU200" s="4" t="n">
        <v>681.8</v>
      </c>
      <c r="BY200" s="4" t="n">
        <v>1</v>
      </c>
      <c r="CH200" s="4" t="n">
        <v>2182.4</v>
      </c>
      <c r="CL200" s="4" t="n">
        <v>1258.7</v>
      </c>
      <c r="CN200" s="4" t="n">
        <v>5</v>
      </c>
      <c r="CO200" s="4" t="n">
        <v>22</v>
      </c>
      <c r="CT200" s="4" t="n">
        <v>2880.2</v>
      </c>
      <c r="CX200" s="4" t="n">
        <v>697.8</v>
      </c>
      <c r="CY200" s="4" t="n">
        <v>94.3</v>
      </c>
      <c r="CZ200" s="4" t="n">
        <v>4663.7</v>
      </c>
      <c r="LV200" s="4" t="n">
        <v>6810</v>
      </c>
      <c r="LW200" s="4" t="n">
        <v>-1107.5</v>
      </c>
      <c r="LX200" s="5" t="n">
        <f aca="false">SUM(B200:LW200)</f>
        <v>73072.7</v>
      </c>
    </row>
    <row r="201" customFormat="false" ht="15" hidden="false" customHeight="false" outlineLevel="0" collapsed="false">
      <c r="A201" s="3" t="s">
        <v>213</v>
      </c>
      <c r="F201" s="4" t="n">
        <v>2446.3</v>
      </c>
      <c r="G201" s="4" t="n">
        <v>178.3</v>
      </c>
      <c r="H201" s="4" t="n">
        <v>4458.8</v>
      </c>
      <c r="I201" s="4" t="n">
        <v>5702.6</v>
      </c>
      <c r="BE201" s="4" t="n">
        <v>28</v>
      </c>
      <c r="BI201" s="4" t="n">
        <v>254.2</v>
      </c>
      <c r="BJ201" s="4" t="n">
        <v>14</v>
      </c>
      <c r="BK201" s="4" t="n">
        <v>10</v>
      </c>
      <c r="BV201" s="4" t="n">
        <v>128.1</v>
      </c>
      <c r="CF201" s="4" t="n">
        <v>2001.5</v>
      </c>
      <c r="CK201" s="4" t="n">
        <v>11127.6</v>
      </c>
      <c r="CM201" s="4" t="n">
        <v>527.4</v>
      </c>
      <c r="CP201" s="4" t="n">
        <v>1461.1</v>
      </c>
      <c r="CQ201" s="4" t="n">
        <v>4175.2</v>
      </c>
      <c r="CR201" s="4" t="n">
        <v>400.3</v>
      </c>
      <c r="CS201" s="4" t="n">
        <v>615.5</v>
      </c>
      <c r="CT201" s="4" t="n">
        <v>127.1</v>
      </c>
      <c r="CY201" s="4" t="n">
        <v>31.7</v>
      </c>
      <c r="LV201" s="4" t="n">
        <v>-12.1</v>
      </c>
      <c r="LW201" s="4" t="n">
        <v>-22318.6</v>
      </c>
      <c r="LX201" s="5" t="n">
        <f aca="false">SUM(B201:LW201)</f>
        <v>11357</v>
      </c>
    </row>
    <row r="202" customFormat="false" ht="15" hidden="false" customHeight="false" outlineLevel="0" collapsed="false">
      <c r="A202" s="3" t="s">
        <v>214</v>
      </c>
      <c r="F202" s="4" t="n">
        <v>22198.8</v>
      </c>
      <c r="G202" s="4" t="n">
        <v>1617.6</v>
      </c>
      <c r="H202" s="4" t="n">
        <v>40461.4</v>
      </c>
      <c r="I202" s="4" t="n">
        <v>51748.5</v>
      </c>
      <c r="AI202" s="4" t="n">
        <v>1</v>
      </c>
      <c r="AM202" s="4" t="n">
        <v>1072.4</v>
      </c>
      <c r="BC202" s="4" t="n">
        <v>514.7</v>
      </c>
      <c r="BE202" s="4" t="n">
        <v>2348.1</v>
      </c>
      <c r="BF202" s="4" t="n">
        <v>1077.4</v>
      </c>
      <c r="BI202" s="4" t="n">
        <v>50.1</v>
      </c>
      <c r="BJ202" s="4" t="n">
        <v>42.1</v>
      </c>
      <c r="BN202" s="4" t="n">
        <v>2</v>
      </c>
      <c r="BP202" s="4" t="n">
        <v>11</v>
      </c>
      <c r="BR202" s="4" t="n">
        <v>749</v>
      </c>
      <c r="BS202" s="4" t="n">
        <v>103.1</v>
      </c>
      <c r="CB202" s="4" t="n">
        <v>35</v>
      </c>
      <c r="CC202" s="4" t="n">
        <v>757</v>
      </c>
      <c r="CD202" s="4" t="n">
        <v>453.6</v>
      </c>
      <c r="CI202" s="4" t="n">
        <v>1308.7</v>
      </c>
      <c r="CJ202" s="4" t="n">
        <v>189.2</v>
      </c>
      <c r="CK202" s="4" t="n">
        <v>1928.5</v>
      </c>
      <c r="CL202" s="4" t="n">
        <v>953.3</v>
      </c>
      <c r="CM202" s="4" t="n">
        <v>239.3</v>
      </c>
      <c r="CN202" s="4" t="n">
        <v>10</v>
      </c>
      <c r="CO202" s="4" t="n">
        <v>32</v>
      </c>
      <c r="CP202" s="4" t="n">
        <v>697.9</v>
      </c>
      <c r="CQ202" s="4" t="n">
        <v>1547</v>
      </c>
      <c r="CR202" s="4" t="n">
        <v>616.8</v>
      </c>
      <c r="CS202" s="4" t="n">
        <v>11</v>
      </c>
      <c r="CT202" s="4" t="n">
        <v>2074.7</v>
      </c>
      <c r="CW202" s="4" t="n">
        <v>712.9</v>
      </c>
      <c r="CZ202" s="4" t="n">
        <v>1551</v>
      </c>
      <c r="LV202" s="4" t="n">
        <v>1820.4</v>
      </c>
      <c r="LW202" s="4" t="n">
        <v>-22322.7</v>
      </c>
      <c r="LX202" s="5" t="n">
        <f aca="false">SUM(B202:LW202)</f>
        <v>114612.8</v>
      </c>
    </row>
    <row r="203" customFormat="false" ht="15" hidden="false" customHeight="false" outlineLevel="0" collapsed="false">
      <c r="A203" s="3" t="s">
        <v>215</v>
      </c>
      <c r="F203" s="4" t="n">
        <v>3593.2</v>
      </c>
      <c r="G203" s="4" t="n">
        <v>261.8</v>
      </c>
      <c r="H203" s="4" t="n">
        <v>6549.3</v>
      </c>
      <c r="I203" s="4" t="n">
        <v>8376.3</v>
      </c>
      <c r="AW203" s="4" t="n">
        <v>2</v>
      </c>
      <c r="BU203" s="4" t="n">
        <v>2270.3</v>
      </c>
      <c r="CZ203" s="4" t="n">
        <v>2470.5</v>
      </c>
      <c r="LV203" s="4" t="n">
        <v>28.4</v>
      </c>
      <c r="LW203" s="4" t="n">
        <v>-9024.7</v>
      </c>
      <c r="LX203" s="5" t="n">
        <f aca="false">SUM(B203:LW203)</f>
        <v>14527.1</v>
      </c>
    </row>
    <row r="204" customFormat="false" ht="15" hidden="false" customHeight="false" outlineLevel="0" collapsed="false">
      <c r="A204" s="3" t="s">
        <v>216</v>
      </c>
      <c r="F204" s="4" t="n">
        <v>516.6</v>
      </c>
      <c r="G204" s="4" t="n">
        <v>37.6</v>
      </c>
      <c r="H204" s="4" t="n">
        <v>941.7</v>
      </c>
      <c r="I204" s="4" t="n">
        <v>1204.3</v>
      </c>
      <c r="CT204" s="4" t="n">
        <v>1186.5</v>
      </c>
      <c r="CW204" s="4" t="n">
        <v>61</v>
      </c>
      <c r="LV204" s="4" t="n">
        <v>4.1</v>
      </c>
      <c r="LX204" s="5" t="n">
        <f aca="false">SUM(B204:LW204)</f>
        <v>3951.8</v>
      </c>
    </row>
    <row r="205" customFormat="false" ht="15" hidden="false" customHeight="false" outlineLevel="0" collapsed="false">
      <c r="A205" s="3" t="s">
        <v>217</v>
      </c>
      <c r="F205" s="4" t="n">
        <v>2818.3</v>
      </c>
      <c r="G205" s="4" t="n">
        <v>205.4</v>
      </c>
      <c r="H205" s="4" t="n">
        <v>5136.9</v>
      </c>
      <c r="I205" s="4" t="n">
        <v>6569.8</v>
      </c>
      <c r="AU205" s="4" t="n">
        <v>2</v>
      </c>
      <c r="CT205" s="4" t="n">
        <v>2207.9</v>
      </c>
      <c r="LV205" s="4" t="n">
        <v>1037.7</v>
      </c>
      <c r="LX205" s="5" t="n">
        <f aca="false">SUM(B205:LW205)</f>
        <v>17978</v>
      </c>
    </row>
    <row r="206" customFormat="false" ht="15" hidden="false" customHeight="false" outlineLevel="0" collapsed="false">
      <c r="A206" s="3" t="s">
        <v>218</v>
      </c>
      <c r="AI206" s="4" t="n">
        <v>1</v>
      </c>
      <c r="AP206" s="4" t="n">
        <v>4257.3</v>
      </c>
      <c r="AV206" s="4" t="n">
        <v>1</v>
      </c>
      <c r="BB206" s="4" t="n">
        <v>5294.4</v>
      </c>
      <c r="BE206" s="4" t="n">
        <v>5602.4</v>
      </c>
      <c r="BF206" s="4" t="n">
        <v>2671.2</v>
      </c>
      <c r="BV206" s="4" t="n">
        <v>13309</v>
      </c>
      <c r="CD206" s="4" t="n">
        <v>4218.3</v>
      </c>
      <c r="CS206" s="4" t="n">
        <v>47</v>
      </c>
      <c r="CX206" s="4" t="n">
        <v>691.1</v>
      </c>
      <c r="LV206" s="4" t="n">
        <v>-32252.8</v>
      </c>
      <c r="LW206" s="4" t="n">
        <v>-2993.8</v>
      </c>
      <c r="LX206" s="5" t="n">
        <f aca="false">SUM(B206:LW206)</f>
        <v>846.1</v>
      </c>
    </row>
    <row r="207" customFormat="false" ht="15" hidden="false" customHeight="false" outlineLevel="0" collapsed="false">
      <c r="A207" s="3" t="s">
        <v>219</v>
      </c>
      <c r="BZ207" s="4" t="n">
        <v>244</v>
      </c>
      <c r="CH207" s="4" t="n">
        <v>372.1</v>
      </c>
      <c r="CK207" s="4" t="n">
        <v>29487</v>
      </c>
      <c r="CM207" s="4" t="n">
        <v>51</v>
      </c>
      <c r="CY207" s="4" t="n">
        <v>57.8</v>
      </c>
      <c r="LV207" s="4" t="n">
        <v>6900.9</v>
      </c>
      <c r="LW207" s="4" t="n">
        <v>-5196.8</v>
      </c>
      <c r="LX207" s="5" t="n">
        <f aca="false">SUM(B207:LW207)</f>
        <v>31916</v>
      </c>
    </row>
    <row r="208" customFormat="false" ht="15" hidden="false" customHeight="false" outlineLevel="0" collapsed="false">
      <c r="A208" s="3" t="s">
        <v>220</v>
      </c>
      <c r="AW208" s="4" t="n">
        <v>4</v>
      </c>
      <c r="BC208" s="4" t="n">
        <v>566.9</v>
      </c>
      <c r="BT208" s="4" t="n">
        <v>10</v>
      </c>
      <c r="CH208" s="4" t="n">
        <v>90</v>
      </c>
      <c r="CY208" s="4" t="n">
        <v>47.2</v>
      </c>
      <c r="CZ208" s="4" t="n">
        <v>1016.9</v>
      </c>
      <c r="LV208" s="4" t="n">
        <v>25526.5</v>
      </c>
      <c r="LW208" s="4" t="n">
        <v>-1944.5</v>
      </c>
      <c r="LX208" s="5" t="n">
        <f aca="false">SUM(B208:LW208)</f>
        <v>25317</v>
      </c>
    </row>
    <row r="209" customFormat="false" ht="15" hidden="false" customHeight="false" outlineLevel="0" collapsed="false">
      <c r="A209" s="3" t="s">
        <v>221</v>
      </c>
      <c r="F209" s="4" t="n">
        <v>3184.5</v>
      </c>
      <c r="G209" s="4" t="n">
        <v>232</v>
      </c>
      <c r="H209" s="4" t="n">
        <v>5804.4</v>
      </c>
      <c r="I209" s="4" t="n">
        <v>7423.6</v>
      </c>
      <c r="AM209" s="4" t="n">
        <v>83.1</v>
      </c>
      <c r="AO209" s="4" t="n">
        <v>278.2</v>
      </c>
      <c r="AV209" s="4" t="n">
        <v>18</v>
      </c>
      <c r="AX209" s="4" t="n">
        <v>3688.2</v>
      </c>
      <c r="BD209" s="4" t="n">
        <v>368.3</v>
      </c>
      <c r="BE209" s="4" t="n">
        <v>12</v>
      </c>
      <c r="BF209" s="4" t="n">
        <v>26</v>
      </c>
      <c r="BI209" s="4" t="n">
        <v>114.1</v>
      </c>
      <c r="BJ209" s="4" t="n">
        <v>11</v>
      </c>
      <c r="BN209" s="4" t="n">
        <v>7</v>
      </c>
      <c r="BO209" s="4" t="n">
        <v>19</v>
      </c>
      <c r="BP209" s="4" t="n">
        <v>57</v>
      </c>
      <c r="BQ209" s="4" t="n">
        <v>2</v>
      </c>
      <c r="BR209" s="4" t="n">
        <v>1138</v>
      </c>
      <c r="BS209" s="4" t="n">
        <v>93.1</v>
      </c>
      <c r="BT209" s="4" t="n">
        <v>15</v>
      </c>
      <c r="BV209" s="4" t="n">
        <v>3</v>
      </c>
      <c r="BW209" s="4" t="n">
        <v>876.8</v>
      </c>
      <c r="BX209" s="4" t="n">
        <v>977.9</v>
      </c>
      <c r="BY209" s="4" t="n">
        <v>1</v>
      </c>
      <c r="BZ209" s="4" t="n">
        <v>3</v>
      </c>
      <c r="CA209" s="4" t="n">
        <v>41</v>
      </c>
      <c r="CB209" s="4" t="n">
        <v>128.1</v>
      </c>
      <c r="CC209" s="4" t="n">
        <v>464.4</v>
      </c>
      <c r="CD209" s="4" t="n">
        <v>355.3</v>
      </c>
      <c r="CE209" s="4" t="n">
        <v>9</v>
      </c>
      <c r="CF209" s="4" t="n">
        <v>211.2</v>
      </c>
      <c r="CG209" s="4" t="n">
        <v>4</v>
      </c>
      <c r="CH209" s="4" t="n">
        <v>97.1</v>
      </c>
      <c r="CI209" s="4" t="n">
        <v>116.1</v>
      </c>
      <c r="CJ209" s="4" t="n">
        <v>587.5</v>
      </c>
      <c r="CK209" s="4" t="n">
        <v>936.8</v>
      </c>
      <c r="CL209" s="4" t="n">
        <v>995.9</v>
      </c>
      <c r="CM209" s="4" t="n">
        <v>484.4</v>
      </c>
      <c r="CN209" s="4" t="n">
        <v>4</v>
      </c>
      <c r="CO209" s="4" t="n">
        <v>5</v>
      </c>
      <c r="CP209" s="4" t="n">
        <v>483.4</v>
      </c>
      <c r="CQ209" s="4" t="n">
        <v>485.4</v>
      </c>
      <c r="CR209" s="4" t="n">
        <v>27</v>
      </c>
      <c r="CS209" s="4" t="n">
        <v>99.1</v>
      </c>
      <c r="CT209" s="4" t="n">
        <v>267.2</v>
      </c>
      <c r="CU209" s="4" t="n">
        <v>27</v>
      </c>
      <c r="CW209" s="4" t="n">
        <v>4789.2</v>
      </c>
      <c r="CX209" s="4" t="n">
        <v>212.2</v>
      </c>
      <c r="CY209" s="4" t="n">
        <v>982.9</v>
      </c>
      <c r="CZ209" s="4" t="n">
        <v>603.5</v>
      </c>
      <c r="LV209" s="4" t="n">
        <v>1809.6</v>
      </c>
      <c r="LW209" s="4" t="n">
        <v>-22987.9</v>
      </c>
      <c r="LX209" s="5" t="n">
        <f aca="false">SUM(B209:LW209)</f>
        <v>15674.6</v>
      </c>
    </row>
    <row r="210" customFormat="false" ht="15" hidden="false" customHeight="false" outlineLevel="0" collapsed="false">
      <c r="A210" s="3" t="s">
        <v>222</v>
      </c>
      <c r="F210" s="4" t="n">
        <v>2882.5</v>
      </c>
      <c r="G210" s="4" t="n">
        <v>210</v>
      </c>
      <c r="H210" s="4" t="n">
        <v>5253.8</v>
      </c>
      <c r="I210" s="4" t="n">
        <v>6719.4</v>
      </c>
      <c r="BI210" s="4" t="n">
        <v>111</v>
      </c>
      <c r="BJ210" s="4" t="n">
        <v>7</v>
      </c>
      <c r="BK210" s="4" t="n">
        <v>4</v>
      </c>
      <c r="BN210" s="4" t="n">
        <v>3</v>
      </c>
      <c r="BO210" s="4" t="n">
        <v>11</v>
      </c>
      <c r="BP210" s="4" t="n">
        <v>11</v>
      </c>
      <c r="BQ210" s="4" t="n">
        <v>4</v>
      </c>
      <c r="BR210" s="4" t="n">
        <v>645.2</v>
      </c>
      <c r="BT210" s="4" t="n">
        <v>1</v>
      </c>
      <c r="BV210" s="4" t="n">
        <v>1</v>
      </c>
      <c r="BW210" s="4" t="n">
        <v>186.1</v>
      </c>
      <c r="BX210" s="4" t="n">
        <v>1808.7</v>
      </c>
      <c r="CI210" s="4" t="n">
        <v>393.2</v>
      </c>
      <c r="CK210" s="4" t="n">
        <v>115</v>
      </c>
      <c r="CM210" s="4" t="n">
        <v>1</v>
      </c>
      <c r="CR210" s="4" t="n">
        <v>704.3</v>
      </c>
      <c r="CS210" s="4" t="n">
        <v>1185.5</v>
      </c>
      <c r="CT210" s="4" t="n">
        <v>3818.5</v>
      </c>
      <c r="CU210" s="4" t="n">
        <v>40</v>
      </c>
      <c r="CW210" s="4" t="n">
        <v>4427.7</v>
      </c>
      <c r="CX210" s="4" t="n">
        <v>151.1</v>
      </c>
      <c r="CY210" s="4" t="n">
        <v>818.3</v>
      </c>
      <c r="CZ210" s="4" t="n">
        <v>217.1</v>
      </c>
      <c r="LV210" s="4" t="n">
        <v>431.2</v>
      </c>
      <c r="LW210" s="4" t="n">
        <v>-2436.1</v>
      </c>
      <c r="LX210" s="5" t="n">
        <f aca="false">SUM(B210:LW210)</f>
        <v>27725.5</v>
      </c>
    </row>
    <row r="211" customFormat="false" ht="15" hidden="false" customHeight="false" outlineLevel="0" collapsed="false">
      <c r="A211" s="3" t="s">
        <v>223</v>
      </c>
      <c r="F211" s="4" t="n">
        <v>41126.3</v>
      </c>
      <c r="G211" s="4" t="n">
        <v>2996.7</v>
      </c>
      <c r="H211" s="4" t="n">
        <v>74960.2</v>
      </c>
      <c r="I211" s="4" t="n">
        <v>95871</v>
      </c>
      <c r="Q211" s="4" t="n">
        <v>396.3</v>
      </c>
      <c r="R211" s="4" t="n">
        <v>4.6</v>
      </c>
      <c r="S211" s="4" t="n">
        <v>7.4</v>
      </c>
      <c r="T211" s="4" t="n">
        <v>9.3</v>
      </c>
      <c r="U211" s="4" t="n">
        <v>102.3</v>
      </c>
      <c r="V211" s="4" t="n">
        <v>102.9</v>
      </c>
      <c r="X211" s="4" t="n">
        <v>5.2</v>
      </c>
      <c r="Y211" s="4" t="n">
        <v>3.3</v>
      </c>
      <c r="Z211" s="4" t="n">
        <v>8.5</v>
      </c>
      <c r="AA211" s="4" t="n">
        <v>17.8</v>
      </c>
      <c r="AB211" s="4" t="n">
        <v>1.3</v>
      </c>
      <c r="AC211" s="4" t="n">
        <v>12.3</v>
      </c>
      <c r="AD211" s="4" t="n">
        <v>32.8</v>
      </c>
      <c r="AE211" s="4" t="n">
        <v>25.1</v>
      </c>
      <c r="AF211" s="4" t="n">
        <v>14.8</v>
      </c>
      <c r="AG211" s="4" t="n">
        <v>68.3</v>
      </c>
      <c r="AH211" s="4" t="n">
        <v>27</v>
      </c>
      <c r="AI211" s="4" t="n">
        <v>10</v>
      </c>
      <c r="AJ211" s="4" t="n">
        <v>52.7</v>
      </c>
      <c r="AK211" s="4" t="n">
        <v>6.4</v>
      </c>
      <c r="AL211" s="4" t="n">
        <v>840.1</v>
      </c>
      <c r="AM211" s="4" t="n">
        <v>6922.1</v>
      </c>
      <c r="AN211" s="4" t="n">
        <v>130.2</v>
      </c>
      <c r="AO211" s="4" t="n">
        <v>733</v>
      </c>
      <c r="AP211" s="4" t="n">
        <v>430.6</v>
      </c>
      <c r="AQ211" s="4" t="n">
        <v>381.5</v>
      </c>
      <c r="AR211" s="4" t="n">
        <v>15.8</v>
      </c>
      <c r="AS211" s="4" t="n">
        <v>6.3</v>
      </c>
      <c r="AT211" s="4" t="n">
        <v>2.4</v>
      </c>
      <c r="AU211" s="4" t="n">
        <v>65.3</v>
      </c>
      <c r="AV211" s="4" t="n">
        <v>4.3</v>
      </c>
      <c r="AW211" s="4" t="n">
        <v>3</v>
      </c>
      <c r="AX211" s="4" t="n">
        <v>1433.9</v>
      </c>
      <c r="AY211" s="4" t="n">
        <v>6</v>
      </c>
      <c r="AZ211" s="4" t="n">
        <v>10</v>
      </c>
      <c r="BA211" s="4" t="n">
        <v>2.7</v>
      </c>
      <c r="BB211" s="4" t="n">
        <v>186.6</v>
      </c>
      <c r="BC211" s="4" t="n">
        <v>15357.2</v>
      </c>
      <c r="BD211" s="4" t="n">
        <v>142.2</v>
      </c>
      <c r="BE211" s="4" t="n">
        <v>81539.4</v>
      </c>
      <c r="BF211" s="4" t="n">
        <v>5389.1</v>
      </c>
      <c r="BG211" s="4" t="n">
        <v>67.1</v>
      </c>
      <c r="BI211" s="4" t="n">
        <v>9376.4</v>
      </c>
      <c r="BJ211" s="4" t="n">
        <v>273.4</v>
      </c>
      <c r="BK211" s="4" t="n">
        <v>553.7</v>
      </c>
      <c r="BL211" s="4" t="n">
        <v>21</v>
      </c>
      <c r="BM211" s="4" t="n">
        <v>1</v>
      </c>
      <c r="BN211" s="4" t="n">
        <v>48.1</v>
      </c>
      <c r="BO211" s="4" t="n">
        <v>395.5</v>
      </c>
      <c r="BP211" s="4" t="n">
        <v>248.3</v>
      </c>
      <c r="BQ211" s="4" t="n">
        <v>163.2</v>
      </c>
      <c r="BR211" s="4" t="n">
        <v>12454.4</v>
      </c>
      <c r="BS211" s="4" t="n">
        <v>564.7</v>
      </c>
      <c r="BT211" s="4" t="n">
        <v>222.3</v>
      </c>
      <c r="BU211" s="4" t="n">
        <v>7</v>
      </c>
      <c r="BV211" s="4" t="n">
        <v>134.2</v>
      </c>
      <c r="BW211" s="4" t="n">
        <v>27</v>
      </c>
      <c r="BX211" s="4" t="n">
        <v>572.8</v>
      </c>
      <c r="BY211" s="4" t="n">
        <v>4</v>
      </c>
      <c r="BZ211" s="4" t="n">
        <v>216.3</v>
      </c>
      <c r="CA211" s="4" t="n">
        <v>2404.2</v>
      </c>
      <c r="CB211" s="4" t="n">
        <v>611.8</v>
      </c>
      <c r="CC211" s="4" t="n">
        <v>2195.9</v>
      </c>
      <c r="CD211" s="4" t="n">
        <v>4941.5</v>
      </c>
      <c r="CE211" s="4" t="n">
        <v>70.1</v>
      </c>
      <c r="CF211" s="4" t="n">
        <v>8884.7</v>
      </c>
      <c r="CG211" s="4" t="n">
        <v>11</v>
      </c>
      <c r="CH211" s="4" t="n">
        <v>1450.9</v>
      </c>
      <c r="CI211" s="4" t="n">
        <v>90142.8</v>
      </c>
      <c r="CJ211" s="4" t="n">
        <v>5682.5</v>
      </c>
      <c r="CK211" s="4" t="n">
        <v>71303.9</v>
      </c>
      <c r="CL211" s="4" t="n">
        <v>69570.7</v>
      </c>
      <c r="CM211" s="4" t="n">
        <v>9808.9</v>
      </c>
      <c r="CN211" s="4" t="n">
        <v>197.3</v>
      </c>
      <c r="CO211" s="4" t="n">
        <v>390.5</v>
      </c>
      <c r="CP211" s="4" t="n">
        <v>114694.1</v>
      </c>
      <c r="CQ211" s="4" t="n">
        <v>26156.5</v>
      </c>
      <c r="CR211" s="4" t="n">
        <v>1452.9</v>
      </c>
      <c r="CS211" s="4" t="n">
        <v>1161.5</v>
      </c>
      <c r="CT211" s="4" t="n">
        <v>9631.7</v>
      </c>
      <c r="CU211" s="4" t="n">
        <v>2042.7</v>
      </c>
      <c r="CV211" s="4" t="n">
        <v>289.4</v>
      </c>
      <c r="CW211" s="4" t="n">
        <v>15452.4</v>
      </c>
      <c r="CX211" s="4" t="n">
        <v>7694.1</v>
      </c>
      <c r="CY211" s="4" t="n">
        <v>2560.4</v>
      </c>
      <c r="CZ211" s="4" t="n">
        <v>8544.3</v>
      </c>
      <c r="LV211" s="4" t="n">
        <v>32773.2</v>
      </c>
      <c r="LW211" s="4" t="n">
        <v>-576144.2</v>
      </c>
      <c r="LX211" s="5" t="n">
        <f aca="false">SUM(B211:LW211)</f>
        <v>268790.3</v>
      </c>
    </row>
    <row r="212" customFormat="false" ht="15" hidden="false" customHeight="false" outlineLevel="0" collapsed="false">
      <c r="A212" s="3" t="s">
        <v>224</v>
      </c>
      <c r="F212" s="4" t="n">
        <v>26499.6</v>
      </c>
      <c r="G212" s="4" t="n">
        <v>1930.9</v>
      </c>
      <c r="H212" s="4" t="n">
        <v>48300.3</v>
      </c>
      <c r="I212" s="4" t="n">
        <v>61774.1</v>
      </c>
      <c r="AN212" s="4" t="n">
        <v>35</v>
      </c>
      <c r="BC212" s="4" t="n">
        <v>188</v>
      </c>
      <c r="BY212" s="4" t="n">
        <v>158</v>
      </c>
      <c r="CW212" s="4" t="n">
        <v>11215.9</v>
      </c>
      <c r="CX212" s="4" t="n">
        <v>26</v>
      </c>
      <c r="CY212" s="4" t="n">
        <v>3521.6</v>
      </c>
      <c r="CZ212" s="4" t="n">
        <v>62</v>
      </c>
      <c r="LV212" s="4" t="n">
        <v>33994.6</v>
      </c>
      <c r="LW212" s="4" t="n">
        <v>-138229.1</v>
      </c>
      <c r="LX212" s="5" t="n">
        <f aca="false">SUM(B212:LW212)</f>
        <v>49476.9</v>
      </c>
    </row>
    <row r="213" customFormat="false" ht="15" hidden="false" customHeight="false" outlineLevel="0" collapsed="false">
      <c r="A213" s="3" t="s">
        <v>225</v>
      </c>
      <c r="F213" s="4" t="n">
        <v>5202.9</v>
      </c>
      <c r="G213" s="4" t="n">
        <v>379.1</v>
      </c>
      <c r="H213" s="4" t="n">
        <v>9483.2</v>
      </c>
      <c r="I213" s="4" t="n">
        <v>12128.6</v>
      </c>
      <c r="AM213" s="4" t="n">
        <v>6</v>
      </c>
      <c r="BC213" s="4" t="n">
        <v>289.2</v>
      </c>
      <c r="BE213" s="4" t="n">
        <v>23</v>
      </c>
      <c r="BF213" s="4" t="n">
        <v>9</v>
      </c>
      <c r="BI213" s="4" t="n">
        <v>194.1</v>
      </c>
      <c r="BJ213" s="4" t="n">
        <v>9</v>
      </c>
      <c r="BK213" s="4" t="n">
        <v>5</v>
      </c>
      <c r="BN213" s="4" t="n">
        <v>3</v>
      </c>
      <c r="BO213" s="4" t="n">
        <v>7</v>
      </c>
      <c r="BP213" s="4" t="n">
        <v>19</v>
      </c>
      <c r="BQ213" s="4" t="n">
        <v>1</v>
      </c>
      <c r="BR213" s="4" t="n">
        <v>965.6</v>
      </c>
      <c r="BS213" s="4" t="n">
        <v>27</v>
      </c>
      <c r="BT213" s="4" t="n">
        <v>1</v>
      </c>
      <c r="BV213" s="4" t="n">
        <v>2</v>
      </c>
      <c r="BW213" s="4" t="n">
        <v>2</v>
      </c>
      <c r="BX213" s="4" t="n">
        <v>40</v>
      </c>
      <c r="BY213" s="4" t="n">
        <v>1</v>
      </c>
      <c r="BZ213" s="4" t="n">
        <v>3</v>
      </c>
      <c r="CA213" s="4" t="n">
        <v>27</v>
      </c>
      <c r="CB213" s="4" t="n">
        <v>90.1</v>
      </c>
      <c r="CC213" s="4" t="n">
        <v>337.2</v>
      </c>
      <c r="CD213" s="4" t="n">
        <v>308.2</v>
      </c>
      <c r="CE213" s="4" t="n">
        <v>7</v>
      </c>
      <c r="CF213" s="4" t="n">
        <v>885.5</v>
      </c>
      <c r="CG213" s="4" t="n">
        <v>1</v>
      </c>
      <c r="CH213" s="4" t="n">
        <v>37</v>
      </c>
      <c r="CI213" s="4" t="n">
        <v>343.2</v>
      </c>
      <c r="CJ213" s="4" t="n">
        <v>148.1</v>
      </c>
      <c r="CK213" s="4" t="n">
        <v>192.1</v>
      </c>
      <c r="CL213" s="4" t="n">
        <v>1130.7</v>
      </c>
      <c r="CM213" s="4" t="n">
        <v>434.3</v>
      </c>
      <c r="CN213" s="4" t="n">
        <v>2</v>
      </c>
      <c r="CO213" s="4" t="n">
        <v>3</v>
      </c>
      <c r="CP213" s="4" t="n">
        <v>719.4</v>
      </c>
      <c r="CQ213" s="4" t="n">
        <v>75</v>
      </c>
      <c r="CR213" s="4" t="n">
        <v>73</v>
      </c>
      <c r="CS213" s="4" t="n">
        <v>114.1</v>
      </c>
      <c r="CT213" s="4" t="n">
        <v>1319.8</v>
      </c>
      <c r="CU213" s="4" t="n">
        <v>6</v>
      </c>
      <c r="CW213" s="4" t="n">
        <v>6570.8</v>
      </c>
      <c r="CX213" s="4" t="n">
        <v>297.2</v>
      </c>
      <c r="CY213" s="4" t="n">
        <v>105.1</v>
      </c>
      <c r="CZ213" s="4" t="n">
        <v>485.3</v>
      </c>
      <c r="LV213" s="4" t="n">
        <v>-1379.2</v>
      </c>
      <c r="LW213" s="4" t="n">
        <v>-15082.3</v>
      </c>
      <c r="LX213" s="5" t="n">
        <f aca="false">SUM(B213:LW213)</f>
        <v>26051.3</v>
      </c>
    </row>
    <row r="214" customFormat="false" ht="15" hidden="false" customHeight="false" outlineLevel="0" collapsed="false">
      <c r="A214" s="3" t="s">
        <v>226</v>
      </c>
      <c r="F214" s="4" t="n">
        <v>833.5</v>
      </c>
      <c r="G214" s="4" t="n">
        <v>60.7</v>
      </c>
      <c r="H214" s="4" t="n">
        <v>1519.1</v>
      </c>
      <c r="I214" s="4" t="n">
        <v>1942.9</v>
      </c>
      <c r="Q214" s="4" t="n">
        <v>37301.2</v>
      </c>
      <c r="R214" s="4" t="n">
        <v>434.5</v>
      </c>
      <c r="S214" s="4" t="n">
        <v>1100.6</v>
      </c>
      <c r="T214" s="4" t="n">
        <v>1392.2</v>
      </c>
      <c r="U214" s="4" t="n">
        <v>2738.6</v>
      </c>
      <c r="V214" s="4" t="n">
        <v>5566.8</v>
      </c>
      <c r="W214" s="4" t="n">
        <v>11.8</v>
      </c>
      <c r="X214" s="4" t="n">
        <v>92.8</v>
      </c>
      <c r="Y214" s="4" t="n">
        <v>411.2</v>
      </c>
      <c r="Z214" s="4" t="n">
        <v>1016.9</v>
      </c>
      <c r="AA214" s="4" t="n">
        <v>1057.1</v>
      </c>
      <c r="AB214" s="4" t="n">
        <v>33.2</v>
      </c>
      <c r="AC214" s="4" t="n">
        <v>5433</v>
      </c>
      <c r="AD214" s="4" t="n">
        <v>2247.5</v>
      </c>
      <c r="AE214" s="4" t="n">
        <v>2384.5</v>
      </c>
      <c r="AF214" s="4" t="n">
        <v>1272.3</v>
      </c>
      <c r="AG214" s="4" t="n">
        <v>5851.2</v>
      </c>
      <c r="AH214" s="4" t="n">
        <v>2665.2</v>
      </c>
      <c r="AI214" s="4" t="n">
        <v>1988.4</v>
      </c>
      <c r="AJ214" s="4" t="n">
        <v>2410.6</v>
      </c>
      <c r="AK214" s="4" t="n">
        <v>903.4</v>
      </c>
      <c r="AL214" s="4" t="n">
        <v>10013.9</v>
      </c>
      <c r="AM214" s="4" t="n">
        <v>3420.1</v>
      </c>
      <c r="AN214" s="4" t="n">
        <v>2991.6</v>
      </c>
      <c r="AZ214" s="4" t="n">
        <v>14</v>
      </c>
      <c r="BC214" s="4" t="n">
        <v>2242.7</v>
      </c>
      <c r="BE214" s="4" t="n">
        <v>64037.2</v>
      </c>
      <c r="BF214" s="4" t="n">
        <v>20773.7</v>
      </c>
      <c r="BG214" s="4" t="n">
        <v>13</v>
      </c>
      <c r="BI214" s="4" t="n">
        <v>2203.6</v>
      </c>
      <c r="BO214" s="4" t="n">
        <v>30</v>
      </c>
      <c r="BQ214" s="4" t="n">
        <v>219.3</v>
      </c>
      <c r="BR214" s="4" t="n">
        <v>148.2</v>
      </c>
      <c r="BS214" s="4" t="n">
        <v>1679</v>
      </c>
      <c r="BT214" s="4" t="n">
        <v>72.1</v>
      </c>
      <c r="BU214" s="4" t="n">
        <v>11</v>
      </c>
      <c r="BV214" s="4" t="n">
        <v>381.5</v>
      </c>
      <c r="BY214" s="4" t="n">
        <v>3</v>
      </c>
      <c r="BZ214" s="4" t="n">
        <v>511.6</v>
      </c>
      <c r="CA214" s="4" t="n">
        <v>7975.5</v>
      </c>
      <c r="CB214" s="4" t="n">
        <v>365.4</v>
      </c>
      <c r="CC214" s="4" t="n">
        <v>34862.5</v>
      </c>
      <c r="CD214" s="4" t="n">
        <v>6286.5</v>
      </c>
      <c r="CH214" s="4" t="n">
        <v>1272.5</v>
      </c>
      <c r="CI214" s="4" t="n">
        <v>7876.4</v>
      </c>
      <c r="CJ214" s="4" t="n">
        <v>3064.6</v>
      </c>
      <c r="CK214" s="4" t="n">
        <v>5624.7</v>
      </c>
      <c r="CM214" s="4" t="n">
        <v>19</v>
      </c>
      <c r="CS214" s="4" t="n">
        <v>105.1</v>
      </c>
      <c r="CT214" s="4" t="n">
        <v>291.3</v>
      </c>
      <c r="CX214" s="4" t="n">
        <v>1481.8</v>
      </c>
      <c r="CY214" s="4" t="n">
        <v>647.8</v>
      </c>
      <c r="CZ214" s="4" t="n">
        <v>2089.5</v>
      </c>
      <c r="LV214" s="4" t="n">
        <v>14378.1</v>
      </c>
      <c r="LW214" s="4" t="n">
        <v>-156850</v>
      </c>
      <c r="LX214" s="5" t="n">
        <f aca="false">SUM(B214:LW214)</f>
        <v>118925.4</v>
      </c>
    </row>
    <row r="215" customFormat="false" ht="15" hidden="false" customHeight="false" outlineLevel="0" collapsed="false">
      <c r="A215" s="3" t="s">
        <v>227</v>
      </c>
      <c r="F215" s="4" t="n">
        <v>5931.6</v>
      </c>
      <c r="G215" s="4" t="n">
        <v>432.2</v>
      </c>
      <c r="H215" s="4" t="n">
        <v>10811.4</v>
      </c>
      <c r="I215" s="4" t="n">
        <v>13827.4</v>
      </c>
      <c r="X215" s="4" t="n">
        <v>16.8</v>
      </c>
      <c r="Y215" s="4" t="n">
        <v>10.7</v>
      </c>
      <c r="Z215" s="4" t="n">
        <v>27.6</v>
      </c>
      <c r="AI215" s="4" t="n">
        <v>26</v>
      </c>
      <c r="AL215" s="4" t="n">
        <v>1702.5</v>
      </c>
      <c r="AM215" s="4" t="n">
        <v>2908.6</v>
      </c>
      <c r="AN215" s="4" t="n">
        <v>388.3</v>
      </c>
      <c r="AY215" s="4" t="n">
        <v>6</v>
      </c>
      <c r="AZ215" s="4" t="n">
        <v>2</v>
      </c>
      <c r="BA215" s="4" t="n">
        <v>10.8</v>
      </c>
      <c r="BB215" s="4" t="n">
        <v>743.9</v>
      </c>
      <c r="BE215" s="4" t="n">
        <v>7747.9</v>
      </c>
      <c r="BF215" s="4" t="n">
        <v>299.3</v>
      </c>
      <c r="BI215" s="4" t="n">
        <v>675.6</v>
      </c>
      <c r="BJ215" s="4" t="n">
        <v>37</v>
      </c>
      <c r="BK215" s="4" t="n">
        <v>11</v>
      </c>
      <c r="BN215" s="4" t="n">
        <v>21</v>
      </c>
      <c r="BO215" s="4" t="n">
        <v>59.1</v>
      </c>
      <c r="BP215" s="4" t="n">
        <v>919.8</v>
      </c>
      <c r="BQ215" s="4" t="n">
        <v>4</v>
      </c>
      <c r="BR215" s="4" t="n">
        <v>7142.4</v>
      </c>
      <c r="BS215" s="4" t="n">
        <v>325.3</v>
      </c>
      <c r="BT215" s="4" t="n">
        <v>53</v>
      </c>
      <c r="BU215" s="4" t="n">
        <v>1</v>
      </c>
      <c r="BV215" s="4" t="n">
        <v>18</v>
      </c>
      <c r="BW215" s="4" t="n">
        <v>862.8</v>
      </c>
      <c r="BY215" s="4" t="n">
        <v>1191.1</v>
      </c>
      <c r="BZ215" s="4" t="n">
        <v>414.4</v>
      </c>
      <c r="CA215" s="4" t="n">
        <v>1692.5</v>
      </c>
      <c r="CB215" s="4" t="n">
        <v>315.3</v>
      </c>
      <c r="CC215" s="4" t="n">
        <v>1995.8</v>
      </c>
      <c r="CE215" s="4" t="n">
        <v>56</v>
      </c>
      <c r="CG215" s="4" t="n">
        <v>69.1</v>
      </c>
      <c r="CH215" s="4" t="n">
        <v>3620.2</v>
      </c>
      <c r="CI215" s="4" t="n">
        <v>1241.1</v>
      </c>
      <c r="CJ215" s="4" t="n">
        <v>6674</v>
      </c>
      <c r="CK215" s="4" t="n">
        <v>4242.8</v>
      </c>
      <c r="CL215" s="4" t="n">
        <v>27050.1</v>
      </c>
      <c r="CM215" s="4" t="n">
        <v>2569.3</v>
      </c>
      <c r="CN215" s="4" t="n">
        <v>41</v>
      </c>
      <c r="CO215" s="4" t="n">
        <v>105.1</v>
      </c>
      <c r="CP215" s="4" t="n">
        <v>258.2</v>
      </c>
      <c r="CR215" s="4" t="n">
        <v>129.1</v>
      </c>
      <c r="CS215" s="4" t="n">
        <v>506.5</v>
      </c>
      <c r="CT215" s="4" t="n">
        <v>3709.3</v>
      </c>
      <c r="CV215" s="4" t="n">
        <v>2148.9</v>
      </c>
      <c r="CX215" s="4" t="n">
        <v>1777.6</v>
      </c>
      <c r="CY215" s="4" t="n">
        <v>6248.6</v>
      </c>
      <c r="CZ215" s="4" t="n">
        <v>4104.7</v>
      </c>
      <c r="LV215" s="4" t="n">
        <v>3432.1</v>
      </c>
      <c r="LW215" s="4" t="n">
        <v>-83204.7</v>
      </c>
      <c r="LX215" s="5" t="n">
        <f aca="false">SUM(B215:LW215)</f>
        <v>45411.1</v>
      </c>
    </row>
    <row r="216" customFormat="false" ht="15" hidden="false" customHeight="false" outlineLevel="0" collapsed="false">
      <c r="A216" s="3" t="s">
        <v>228</v>
      </c>
      <c r="BE216" s="4" t="n">
        <v>135995.8</v>
      </c>
      <c r="BF216" s="4" t="n">
        <v>5752.8</v>
      </c>
      <c r="CC216" s="4" t="n">
        <v>111084.9</v>
      </c>
      <c r="CH216" s="4" t="n">
        <v>107.1</v>
      </c>
      <c r="CK216" s="4" t="n">
        <v>100493.1</v>
      </c>
      <c r="CM216" s="4" t="n">
        <v>258.2</v>
      </c>
      <c r="CS216" s="4" t="n">
        <v>1046.9</v>
      </c>
      <c r="CX216" s="4" t="n">
        <v>1077.9</v>
      </c>
      <c r="CY216" s="4" t="n">
        <v>166.1</v>
      </c>
      <c r="CZ216" s="4" t="n">
        <v>745.6</v>
      </c>
      <c r="LV216" s="4" t="n">
        <v>-1753.5</v>
      </c>
      <c r="LW216" s="4" t="n">
        <v>-89628.9</v>
      </c>
      <c r="LX216" s="5" t="n">
        <f aca="false">SUM(B216:LW216)</f>
        <v>265346</v>
      </c>
    </row>
    <row r="217" customFormat="false" ht="15" hidden="false" customHeight="false" outlineLevel="0" collapsed="false">
      <c r="A217" s="3" t="s">
        <v>229</v>
      </c>
      <c r="F217" s="4" t="n">
        <v>996.1</v>
      </c>
      <c r="G217" s="4" t="n">
        <v>72.6</v>
      </c>
      <c r="H217" s="4" t="n">
        <v>1815.5</v>
      </c>
      <c r="I217" s="4" t="n">
        <v>2322</v>
      </c>
      <c r="BQ217" s="4" t="n">
        <v>145.2</v>
      </c>
      <c r="BY217" s="4" t="n">
        <v>177.2</v>
      </c>
      <c r="CC217" s="4" t="n">
        <v>202.3</v>
      </c>
      <c r="CK217" s="4" t="n">
        <v>28415.9</v>
      </c>
      <c r="CM217" s="4" t="n">
        <v>231.3</v>
      </c>
      <c r="CS217" s="4" t="n">
        <v>23</v>
      </c>
      <c r="CT217" s="4" t="n">
        <v>686.9</v>
      </c>
      <c r="CZ217" s="4" t="n">
        <v>846.2</v>
      </c>
      <c r="LV217" s="4" t="n">
        <v>304.4</v>
      </c>
      <c r="LW217" s="4" t="n">
        <v>-17739.7</v>
      </c>
      <c r="LX217" s="5" t="n">
        <f aca="false">SUM(B217:LW217)</f>
        <v>18498.9</v>
      </c>
    </row>
    <row r="218" customFormat="false" ht="15" hidden="false" customHeight="false" outlineLevel="0" collapsed="false">
      <c r="A218" s="3" t="s">
        <v>230</v>
      </c>
      <c r="F218" s="4" t="n">
        <v>1747.8</v>
      </c>
      <c r="G218" s="4" t="n">
        <v>127.4</v>
      </c>
      <c r="H218" s="4" t="n">
        <v>3185.6</v>
      </c>
      <c r="I218" s="4" t="n">
        <v>4074.2</v>
      </c>
      <c r="X218" s="4" t="n">
        <v>7.9</v>
      </c>
      <c r="Y218" s="4" t="n">
        <v>5</v>
      </c>
      <c r="Z218" s="4" t="n">
        <v>13.1</v>
      </c>
      <c r="AC218" s="4" t="n">
        <v>11.9</v>
      </c>
      <c r="AD218" s="4" t="n">
        <v>31.8</v>
      </c>
      <c r="AE218" s="4" t="n">
        <v>24.4</v>
      </c>
      <c r="AF218" s="4" t="n">
        <v>6.8</v>
      </c>
      <c r="AG218" s="4" t="n">
        <v>31.2</v>
      </c>
      <c r="AH218" s="4" t="n">
        <v>10</v>
      </c>
      <c r="AI218" s="4" t="n">
        <v>15</v>
      </c>
      <c r="AL218" s="4" t="n">
        <v>1191.9</v>
      </c>
      <c r="AM218" s="4" t="n">
        <v>7584.8</v>
      </c>
      <c r="AN218" s="4" t="n">
        <v>324.2</v>
      </c>
      <c r="AX218" s="4" t="n">
        <v>2847.2</v>
      </c>
      <c r="BC218" s="4" t="n">
        <v>1875.4</v>
      </c>
      <c r="BD218" s="4" t="n">
        <v>284.2</v>
      </c>
      <c r="BE218" s="4" t="n">
        <v>106950.3</v>
      </c>
      <c r="BF218" s="4" t="n">
        <v>11912.1</v>
      </c>
      <c r="BG218" s="4" t="n">
        <v>49</v>
      </c>
      <c r="BI218" s="4" t="n">
        <v>223.2</v>
      </c>
      <c r="BJ218" s="4" t="n">
        <v>15</v>
      </c>
      <c r="BK218" s="4" t="n">
        <v>10</v>
      </c>
      <c r="BN218" s="4" t="n">
        <v>9</v>
      </c>
      <c r="BO218" s="4" t="n">
        <v>24</v>
      </c>
      <c r="BP218" s="4" t="n">
        <v>28</v>
      </c>
      <c r="BQ218" s="4" t="n">
        <v>2</v>
      </c>
      <c r="BR218" s="4" t="n">
        <v>1466.1</v>
      </c>
      <c r="BS218" s="4" t="n">
        <v>84.1</v>
      </c>
      <c r="BT218" s="4" t="n">
        <v>139.1</v>
      </c>
      <c r="BU218" s="4" t="n">
        <v>20</v>
      </c>
      <c r="BV218" s="4" t="n">
        <v>912.7</v>
      </c>
      <c r="BW218" s="4" t="n">
        <v>6</v>
      </c>
      <c r="BY218" s="4" t="n">
        <v>1</v>
      </c>
      <c r="BZ218" s="4" t="n">
        <v>5</v>
      </c>
      <c r="CA218" s="4" t="n">
        <v>80.1</v>
      </c>
      <c r="CB218" s="4" t="n">
        <v>400.3</v>
      </c>
      <c r="CC218" s="4" t="n">
        <v>1774.3</v>
      </c>
      <c r="CD218" s="4" t="n">
        <v>78155.4</v>
      </c>
      <c r="CE218" s="4" t="n">
        <v>539.4</v>
      </c>
      <c r="CH218" s="4" t="n">
        <v>150.1</v>
      </c>
      <c r="CI218" s="4" t="n">
        <v>4377.3</v>
      </c>
      <c r="CJ218" s="4" t="n">
        <v>518.4</v>
      </c>
      <c r="CK218" s="4" t="n">
        <v>150536.4</v>
      </c>
      <c r="CL218" s="4" t="n">
        <v>7051.4</v>
      </c>
      <c r="CM218" s="4" t="n">
        <v>4651.5</v>
      </c>
      <c r="CO218" s="4" t="n">
        <v>37</v>
      </c>
      <c r="CP218" s="4" t="n">
        <v>7331.6</v>
      </c>
      <c r="CR218" s="4" t="n">
        <v>2343.8</v>
      </c>
      <c r="CS218" s="4" t="n">
        <v>3567.7</v>
      </c>
      <c r="CT218" s="4" t="n">
        <v>11121.5</v>
      </c>
      <c r="CU218" s="4" t="n">
        <v>16</v>
      </c>
      <c r="CW218" s="4" t="n">
        <v>167.1</v>
      </c>
      <c r="CX218" s="4" t="n">
        <v>573.4</v>
      </c>
      <c r="CY218" s="4" t="n">
        <v>211.2</v>
      </c>
      <c r="CZ218" s="4" t="n">
        <v>935.7</v>
      </c>
      <c r="LV218" s="4" t="n">
        <v>3055.3</v>
      </c>
      <c r="LW218" s="4" t="n">
        <v>-179118.7</v>
      </c>
      <c r="LX218" s="5" t="n">
        <f aca="false">SUM(B218:LW218)</f>
        <v>243732.6</v>
      </c>
    </row>
    <row r="219" customFormat="false" ht="15" hidden="false" customHeight="false" outlineLevel="0" collapsed="false">
      <c r="A219" s="3" t="s">
        <v>231</v>
      </c>
      <c r="F219" s="4" t="n">
        <v>11236.8</v>
      </c>
      <c r="G219" s="4" t="n">
        <v>818.8</v>
      </c>
      <c r="H219" s="4" t="n">
        <v>20481.2</v>
      </c>
      <c r="I219" s="4" t="n">
        <v>26194.6</v>
      </c>
      <c r="AI219" s="4" t="n">
        <v>1</v>
      </c>
      <c r="AM219" s="4" t="n">
        <v>144.1</v>
      </c>
      <c r="AO219" s="4" t="n">
        <v>106.1</v>
      </c>
      <c r="AR219" s="4" t="n">
        <v>1.7</v>
      </c>
      <c r="AS219" s="4" t="n">
        <v>0.7</v>
      </c>
      <c r="AT219" s="4" t="n">
        <v>0.3</v>
      </c>
      <c r="AU219" s="4" t="n">
        <v>6.9</v>
      </c>
      <c r="AV219" s="4" t="n">
        <v>0.5</v>
      </c>
      <c r="BC219" s="4" t="n">
        <v>145.1</v>
      </c>
      <c r="BE219" s="4" t="n">
        <v>2468.2</v>
      </c>
      <c r="BF219" s="4" t="n">
        <v>175.1</v>
      </c>
      <c r="BI219" s="4" t="n">
        <v>99</v>
      </c>
      <c r="BJ219" s="4" t="n">
        <v>7</v>
      </c>
      <c r="BN219" s="4" t="n">
        <v>5</v>
      </c>
      <c r="BO219" s="4" t="n">
        <v>12</v>
      </c>
      <c r="BP219" s="4" t="n">
        <v>13</v>
      </c>
      <c r="BR219" s="4" t="n">
        <v>665.3</v>
      </c>
      <c r="BS219" s="4" t="n">
        <v>58</v>
      </c>
      <c r="BT219" s="4" t="n">
        <v>14</v>
      </c>
      <c r="BV219" s="4" t="n">
        <v>3</v>
      </c>
      <c r="BW219" s="4" t="n">
        <v>5</v>
      </c>
      <c r="BX219" s="4" t="n">
        <v>751.4</v>
      </c>
      <c r="BY219" s="4" t="n">
        <v>1</v>
      </c>
      <c r="BZ219" s="4" t="n">
        <v>3</v>
      </c>
      <c r="CA219" s="4" t="n">
        <v>57</v>
      </c>
      <c r="CD219" s="4" t="n">
        <v>1691.8</v>
      </c>
      <c r="CF219" s="4" t="n">
        <v>2502.2</v>
      </c>
      <c r="CG219" s="4" t="n">
        <v>1</v>
      </c>
      <c r="CH219" s="4" t="n">
        <v>22</v>
      </c>
      <c r="CI219" s="4" t="n">
        <v>7088.4</v>
      </c>
      <c r="CJ219" s="4" t="n">
        <v>823.4</v>
      </c>
      <c r="CK219" s="4" t="n">
        <v>1501.7</v>
      </c>
      <c r="CL219" s="4" t="n">
        <v>92</v>
      </c>
      <c r="CM219" s="4" t="n">
        <v>1579.8</v>
      </c>
      <c r="CP219" s="4" t="n">
        <v>312.2</v>
      </c>
      <c r="CQ219" s="4" t="n">
        <v>5562.7</v>
      </c>
      <c r="CR219" s="4" t="n">
        <v>4</v>
      </c>
      <c r="CS219" s="4" t="n">
        <v>64</v>
      </c>
      <c r="CT219" s="4" t="n">
        <v>2083</v>
      </c>
      <c r="CU219" s="4" t="n">
        <v>2</v>
      </c>
      <c r="CW219" s="4" t="n">
        <v>11</v>
      </c>
      <c r="CX219" s="4" t="n">
        <v>197.1</v>
      </c>
      <c r="CY219" s="4" t="n">
        <v>351.2</v>
      </c>
      <c r="CZ219" s="4" t="n">
        <v>1480.7</v>
      </c>
      <c r="LV219" s="4" t="n">
        <v>583815</v>
      </c>
      <c r="LW219" s="4" t="n">
        <v>-501830.4</v>
      </c>
      <c r="LX219" s="5" t="n">
        <f aca="false">SUM(B219:LW219)</f>
        <v>170829.6</v>
      </c>
    </row>
    <row r="220" customFormat="false" ht="15" hidden="false" customHeight="false" outlineLevel="0" collapsed="false">
      <c r="A220" s="3" t="s">
        <v>232</v>
      </c>
      <c r="LV220" s="4" t="n">
        <v>6998.3</v>
      </c>
      <c r="LX220" s="5" t="n">
        <f aca="false">SUM(B220:LW220)</f>
        <v>6998.3</v>
      </c>
    </row>
    <row r="221" customFormat="false" ht="15" hidden="false" customHeight="false" outlineLevel="0" collapsed="false">
      <c r="A221" s="3" t="s">
        <v>233</v>
      </c>
      <c r="F221" s="4" t="n">
        <v>6584.5</v>
      </c>
      <c r="G221" s="4" t="n">
        <v>479.8</v>
      </c>
      <c r="H221" s="4" t="n">
        <v>12001.5</v>
      </c>
      <c r="I221" s="4" t="n">
        <v>15349.4</v>
      </c>
      <c r="AM221" s="4" t="n">
        <v>1171.5</v>
      </c>
      <c r="BE221" s="4" t="n">
        <v>535.2</v>
      </c>
      <c r="BF221" s="4" t="n">
        <v>129.1</v>
      </c>
      <c r="BI221" s="4" t="n">
        <v>193.1</v>
      </c>
      <c r="BJ221" s="4" t="n">
        <v>20</v>
      </c>
      <c r="BN221" s="4" t="n">
        <v>4</v>
      </c>
      <c r="BO221" s="4" t="n">
        <v>74</v>
      </c>
      <c r="BP221" s="4" t="n">
        <v>16</v>
      </c>
      <c r="BQ221" s="4" t="n">
        <v>5</v>
      </c>
      <c r="BR221" s="4" t="n">
        <v>2355</v>
      </c>
      <c r="BT221" s="4" t="n">
        <v>3</v>
      </c>
      <c r="BX221" s="4" t="n">
        <v>283.1</v>
      </c>
      <c r="CA221" s="4" t="n">
        <v>8</v>
      </c>
      <c r="CB221" s="4" t="n">
        <v>14</v>
      </c>
      <c r="CC221" s="4" t="n">
        <v>14</v>
      </c>
      <c r="CD221" s="4" t="n">
        <v>15</v>
      </c>
      <c r="CE221" s="4" t="n">
        <v>1</v>
      </c>
      <c r="CF221" s="4" t="n">
        <v>3732.7</v>
      </c>
      <c r="CH221" s="4" t="n">
        <v>39</v>
      </c>
      <c r="CI221" s="4" t="n">
        <v>468.2</v>
      </c>
      <c r="CJ221" s="4" t="n">
        <v>243.1</v>
      </c>
      <c r="CK221" s="4" t="n">
        <v>349.2</v>
      </c>
      <c r="CL221" s="4" t="n">
        <v>17689.8</v>
      </c>
      <c r="CM221" s="4" t="n">
        <v>587.3</v>
      </c>
      <c r="CN221" s="4" t="n">
        <v>346.2</v>
      </c>
      <c r="CP221" s="4" t="n">
        <v>561.2</v>
      </c>
      <c r="CQ221" s="4" t="n">
        <v>14261.3</v>
      </c>
      <c r="CR221" s="4" t="n">
        <v>4664.1</v>
      </c>
      <c r="CS221" s="4" t="n">
        <v>41</v>
      </c>
      <c r="CT221" s="4" t="n">
        <v>4275.9</v>
      </c>
      <c r="CU221" s="4" t="n">
        <v>51</v>
      </c>
      <c r="CW221" s="4" t="n">
        <v>6234.8</v>
      </c>
      <c r="CX221" s="4" t="n">
        <v>570.3</v>
      </c>
      <c r="CY221" s="4" t="n">
        <v>1284.6</v>
      </c>
      <c r="CZ221" s="4" t="n">
        <v>902.4</v>
      </c>
      <c r="LV221" s="4" t="n">
        <v>20900.2</v>
      </c>
      <c r="LW221" s="4" t="n">
        <v>-58377.2</v>
      </c>
      <c r="LX221" s="5" t="n">
        <f aca="false">SUM(B221:LW221)</f>
        <v>58081.3</v>
      </c>
    </row>
    <row r="222" customFormat="false" ht="15" hidden="false" customHeight="false" outlineLevel="0" collapsed="false">
      <c r="A222" s="3" t="s">
        <v>234</v>
      </c>
      <c r="F222" s="4" t="n">
        <v>23612.4</v>
      </c>
      <c r="G222" s="4" t="n">
        <v>1720.6</v>
      </c>
      <c r="H222" s="4" t="n">
        <v>43037.8</v>
      </c>
      <c r="I222" s="4" t="n">
        <v>55043.5</v>
      </c>
      <c r="AN222" s="4" t="n">
        <v>361.1</v>
      </c>
      <c r="CE222" s="4" t="n">
        <v>62</v>
      </c>
      <c r="CG222" s="4" t="n">
        <v>856.3</v>
      </c>
      <c r="CI222" s="4" t="n">
        <v>674.2</v>
      </c>
      <c r="CJ222" s="4" t="n">
        <v>741.2</v>
      </c>
      <c r="CK222" s="4" t="n">
        <v>8779.9</v>
      </c>
      <c r="CL222" s="4" t="n">
        <v>313.1</v>
      </c>
      <c r="CM222" s="4" t="n">
        <v>1381.5</v>
      </c>
      <c r="CS222" s="4" t="n">
        <v>19</v>
      </c>
      <c r="CX222" s="4" t="n">
        <v>207.1</v>
      </c>
      <c r="CY222" s="4" t="n">
        <v>43</v>
      </c>
      <c r="CZ222" s="4" t="n">
        <v>457.2</v>
      </c>
      <c r="LV222" s="4" t="n">
        <v>168735.4</v>
      </c>
      <c r="LW222" s="4" t="n">
        <v>-182028.1</v>
      </c>
      <c r="LX222" s="5" t="n">
        <f aca="false">SUM(B222:LW222)</f>
        <v>124017.2</v>
      </c>
    </row>
    <row r="223" customFormat="false" ht="15" hidden="false" customHeight="false" outlineLevel="0" collapsed="false">
      <c r="A223" s="3" t="s">
        <v>235</v>
      </c>
      <c r="F223" s="4" t="n">
        <v>3621.5</v>
      </c>
      <c r="G223" s="4" t="n">
        <v>263.9</v>
      </c>
      <c r="H223" s="4" t="n">
        <v>6600.8</v>
      </c>
      <c r="I223" s="4" t="n">
        <v>8442.1</v>
      </c>
      <c r="BV223" s="4" t="n">
        <v>19</v>
      </c>
      <c r="BX223" s="4" t="n">
        <v>737.5</v>
      </c>
      <c r="CL223" s="4" t="n">
        <v>25</v>
      </c>
      <c r="CW223" s="4" t="n">
        <v>21</v>
      </c>
      <c r="CX223" s="4" t="n">
        <v>351.2</v>
      </c>
      <c r="CY223" s="4" t="n">
        <v>65</v>
      </c>
      <c r="CZ223" s="4" t="n">
        <v>1766.2</v>
      </c>
      <c r="LV223" s="4" t="n">
        <v>1963.4</v>
      </c>
      <c r="LW223" s="4" t="n">
        <v>-7305.9</v>
      </c>
      <c r="LX223" s="5" t="n">
        <f aca="false">SUM(B223:LW223)</f>
        <v>16570.7</v>
      </c>
    </row>
    <row r="224" customFormat="false" ht="15" hidden="false" customHeight="false" outlineLevel="0" collapsed="false">
      <c r="A224" s="3" t="s">
        <v>236</v>
      </c>
      <c r="F224" s="4" t="n">
        <v>10507.8</v>
      </c>
      <c r="G224" s="4" t="n">
        <v>765.7</v>
      </c>
      <c r="H224" s="4" t="n">
        <v>19152.4</v>
      </c>
      <c r="I224" s="4" t="n">
        <v>24495.1</v>
      </c>
      <c r="AI224" s="4" t="n">
        <v>3</v>
      </c>
      <c r="AM224" s="4" t="n">
        <v>2783.3</v>
      </c>
      <c r="AW224" s="4" t="n">
        <v>27</v>
      </c>
      <c r="BE224" s="4" t="n">
        <v>14335.8</v>
      </c>
      <c r="BF224" s="4" t="n">
        <v>315.1</v>
      </c>
      <c r="BI224" s="4" t="n">
        <v>896.4</v>
      </c>
      <c r="BJ224" s="4" t="n">
        <v>233.1</v>
      </c>
      <c r="BK224" s="4" t="n">
        <v>297.1</v>
      </c>
      <c r="BM224" s="4" t="n">
        <v>2</v>
      </c>
      <c r="BN224" s="4" t="n">
        <v>3</v>
      </c>
      <c r="BO224" s="4" t="n">
        <v>161.1</v>
      </c>
      <c r="BP224" s="4" t="n">
        <v>127.1</v>
      </c>
      <c r="BQ224" s="4" t="n">
        <v>306.1</v>
      </c>
      <c r="BR224" s="4" t="n">
        <v>3276.5</v>
      </c>
      <c r="BS224" s="4" t="n">
        <v>929.4</v>
      </c>
      <c r="BT224" s="4" t="n">
        <v>301.1</v>
      </c>
      <c r="BU224" s="4" t="n">
        <v>7</v>
      </c>
      <c r="BV224" s="4" t="n">
        <v>97</v>
      </c>
      <c r="BW224" s="4" t="n">
        <v>69</v>
      </c>
      <c r="BX224" s="4" t="n">
        <v>5488.6</v>
      </c>
      <c r="BY224" s="4" t="n">
        <v>272.1</v>
      </c>
      <c r="BZ224" s="4" t="n">
        <v>262.1</v>
      </c>
      <c r="CA224" s="4" t="n">
        <v>705.3</v>
      </c>
      <c r="CB224" s="4" t="n">
        <v>2323.1</v>
      </c>
      <c r="CC224" s="4" t="n">
        <v>8738.1</v>
      </c>
      <c r="CD224" s="4" t="n">
        <v>9375.4</v>
      </c>
      <c r="CE224" s="4" t="n">
        <v>20</v>
      </c>
      <c r="CF224" s="4" t="n">
        <v>1407.7</v>
      </c>
      <c r="CG224" s="4" t="n">
        <v>59</v>
      </c>
      <c r="CH224" s="4" t="n">
        <v>468.2</v>
      </c>
      <c r="CI224" s="4" t="n">
        <v>403.2</v>
      </c>
      <c r="CJ224" s="4" t="n">
        <v>1094.5</v>
      </c>
      <c r="CK224" s="4" t="n">
        <v>15242.2</v>
      </c>
      <c r="CL224" s="4" t="n">
        <v>40545.2</v>
      </c>
      <c r="CM224" s="4" t="n">
        <v>2371.1</v>
      </c>
      <c r="CN224" s="4" t="n">
        <v>130.1</v>
      </c>
      <c r="CO224" s="4" t="n">
        <v>322.2</v>
      </c>
      <c r="CP224" s="4" t="n">
        <v>3617.7</v>
      </c>
      <c r="CQ224" s="4" t="n">
        <v>14694.9</v>
      </c>
      <c r="CR224" s="4" t="n">
        <v>9879.7</v>
      </c>
      <c r="CS224" s="4" t="n">
        <v>292.1</v>
      </c>
      <c r="CT224" s="4" t="n">
        <v>4520.1</v>
      </c>
      <c r="CU224" s="4" t="n">
        <v>376.2</v>
      </c>
      <c r="CW224" s="4" t="n">
        <v>21320.1</v>
      </c>
      <c r="CX224" s="4" t="n">
        <v>4859.3</v>
      </c>
      <c r="CY224" s="4" t="n">
        <v>13764.5</v>
      </c>
      <c r="CZ224" s="4" t="n">
        <v>8183.9</v>
      </c>
      <c r="LW224" s="4" t="n">
        <v>-42828.7</v>
      </c>
      <c r="LX224" s="5" t="n">
        <f aca="false">SUM(B224:LW224)</f>
        <v>206999</v>
      </c>
    </row>
    <row r="225" customFormat="false" ht="15" hidden="false" customHeight="false" outlineLevel="0" collapsed="false">
      <c r="A225" s="3" t="s">
        <v>237</v>
      </c>
      <c r="F225" s="4" t="n">
        <v>4645.4</v>
      </c>
      <c r="G225" s="4" t="n">
        <v>338.5</v>
      </c>
      <c r="H225" s="4" t="n">
        <v>8467</v>
      </c>
      <c r="I225" s="4" t="n">
        <v>10829</v>
      </c>
      <c r="Y225" s="4" t="n">
        <v>1</v>
      </c>
      <c r="AA225" s="4" t="n">
        <v>1</v>
      </c>
      <c r="AM225" s="4" t="n">
        <v>83.1</v>
      </c>
      <c r="AN225" s="4" t="n">
        <v>57</v>
      </c>
      <c r="AO225" s="4" t="n">
        <v>1823.3</v>
      </c>
      <c r="AR225" s="4" t="n">
        <v>120.9</v>
      </c>
      <c r="AS225" s="4" t="n">
        <v>48.5</v>
      </c>
      <c r="AT225" s="4" t="n">
        <v>18</v>
      </c>
      <c r="AU225" s="4" t="n">
        <v>498.9</v>
      </c>
      <c r="AV225" s="4" t="n">
        <v>33.2</v>
      </c>
      <c r="AZ225" s="4" t="n">
        <v>2</v>
      </c>
      <c r="BE225" s="4" t="n">
        <v>780.5</v>
      </c>
      <c r="BF225" s="4" t="n">
        <v>48</v>
      </c>
      <c r="BG225" s="4" t="n">
        <v>10</v>
      </c>
      <c r="BI225" s="4" t="n">
        <v>202.1</v>
      </c>
      <c r="BJ225" s="4" t="n">
        <v>1</v>
      </c>
      <c r="BO225" s="4" t="n">
        <v>64</v>
      </c>
      <c r="BP225" s="4" t="n">
        <v>120.1</v>
      </c>
      <c r="BQ225" s="4" t="n">
        <v>104.1</v>
      </c>
      <c r="BR225" s="4" t="n">
        <v>1095.8</v>
      </c>
      <c r="BS225" s="4" t="n">
        <v>2</v>
      </c>
      <c r="BT225" s="4" t="n">
        <v>13</v>
      </c>
      <c r="BV225" s="4" t="n">
        <v>97.1</v>
      </c>
      <c r="BW225" s="4" t="n">
        <v>2</v>
      </c>
      <c r="BX225" s="4" t="n">
        <v>367.3</v>
      </c>
      <c r="BY225" s="4" t="n">
        <v>74.1</v>
      </c>
      <c r="BZ225" s="4" t="n">
        <v>6</v>
      </c>
      <c r="CA225" s="4" t="n">
        <v>39</v>
      </c>
      <c r="CB225" s="4" t="n">
        <v>21</v>
      </c>
      <c r="CC225" s="4" t="n">
        <v>199.1</v>
      </c>
      <c r="CD225" s="4" t="n">
        <v>19</v>
      </c>
      <c r="CE225" s="4" t="n">
        <v>3</v>
      </c>
      <c r="CF225" s="4" t="n">
        <v>34</v>
      </c>
      <c r="CG225" s="4" t="n">
        <v>1</v>
      </c>
      <c r="CH225" s="4" t="n">
        <v>60</v>
      </c>
      <c r="CI225" s="4" t="n">
        <v>169.1</v>
      </c>
      <c r="CJ225" s="4" t="n">
        <v>242.2</v>
      </c>
      <c r="CK225" s="4" t="n">
        <v>1293.9</v>
      </c>
      <c r="CL225" s="4" t="n">
        <v>893.6</v>
      </c>
      <c r="CM225" s="4" t="n">
        <v>458.3</v>
      </c>
      <c r="CN225" s="4" t="n">
        <v>152.1</v>
      </c>
      <c r="CO225" s="4" t="n">
        <v>45</v>
      </c>
      <c r="CP225" s="4" t="n">
        <v>130.1</v>
      </c>
      <c r="CQ225" s="4" t="n">
        <v>168.1</v>
      </c>
      <c r="CR225" s="4" t="n">
        <v>50</v>
      </c>
      <c r="CS225" s="4" t="n">
        <v>8</v>
      </c>
      <c r="CT225" s="4" t="n">
        <v>214.1</v>
      </c>
      <c r="CU225" s="4" t="n">
        <v>30</v>
      </c>
      <c r="CW225" s="4" t="n">
        <v>5038.5</v>
      </c>
      <c r="CX225" s="4" t="n">
        <v>782.5</v>
      </c>
      <c r="CY225" s="4" t="n">
        <v>2589.8</v>
      </c>
      <c r="CZ225" s="4" t="n">
        <v>1763.2</v>
      </c>
      <c r="LX225" s="5" t="n">
        <f aca="false">SUM(B225:LW225)</f>
        <v>44358.5</v>
      </c>
    </row>
    <row r="226" customFormat="false" ht="15" hidden="false" customHeight="false" outlineLevel="0" collapsed="false">
      <c r="A226" s="3" t="s">
        <v>238</v>
      </c>
      <c r="F226" s="4" t="n">
        <v>1723.7</v>
      </c>
      <c r="G226" s="4" t="n">
        <v>125.6</v>
      </c>
      <c r="H226" s="4" t="n">
        <v>3141.8</v>
      </c>
      <c r="I226" s="4" t="n">
        <v>4018.2</v>
      </c>
      <c r="BE226" s="4" t="n">
        <v>487.5</v>
      </c>
      <c r="BF226" s="4" t="n">
        <v>25.1</v>
      </c>
      <c r="BI226" s="4" t="n">
        <v>399.3</v>
      </c>
      <c r="BJ226" s="4" t="n">
        <v>36.1</v>
      </c>
      <c r="BN226" s="4" t="n">
        <v>2</v>
      </c>
      <c r="BO226" s="4" t="n">
        <v>63.2</v>
      </c>
      <c r="BP226" s="4" t="n">
        <v>10</v>
      </c>
      <c r="BQ226" s="4" t="n">
        <v>11</v>
      </c>
      <c r="BR226" s="4" t="n">
        <v>2049.4</v>
      </c>
      <c r="CI226" s="4" t="n">
        <v>2180.9</v>
      </c>
      <c r="CJ226" s="4" t="n">
        <v>2025.4</v>
      </c>
      <c r="CK226" s="4" t="n">
        <v>5365.9</v>
      </c>
      <c r="CL226" s="4" t="n">
        <v>19431.1</v>
      </c>
      <c r="CM226" s="4" t="n">
        <v>189.6</v>
      </c>
      <c r="CP226" s="4" t="n">
        <v>1719.4</v>
      </c>
      <c r="CR226" s="4" t="n">
        <v>8230.9</v>
      </c>
      <c r="CS226" s="4" t="n">
        <v>200.6</v>
      </c>
      <c r="CT226" s="4" t="n">
        <v>7082.3</v>
      </c>
      <c r="CU226" s="4" t="n">
        <v>92.3</v>
      </c>
      <c r="CW226" s="4" t="n">
        <v>946</v>
      </c>
      <c r="CX226" s="4" t="n">
        <v>242.8</v>
      </c>
      <c r="CY226" s="4" t="n">
        <v>119.4</v>
      </c>
      <c r="CZ226" s="4" t="n">
        <v>475.5</v>
      </c>
      <c r="LV226" s="4" t="n">
        <v>844811.3</v>
      </c>
      <c r="LW226" s="4" t="n">
        <v>-40706.6</v>
      </c>
      <c r="LX226" s="5" t="n">
        <f aca="false">SUM(B226:LW226)</f>
        <v>864499.7</v>
      </c>
    </row>
    <row r="227" customFormat="false" ht="15" hidden="false" customHeight="false" outlineLevel="0" collapsed="false">
      <c r="A227" s="3" t="s">
        <v>239</v>
      </c>
      <c r="F227" s="4" t="n">
        <v>4807.9</v>
      </c>
      <c r="G227" s="4" t="n">
        <v>350.3</v>
      </c>
      <c r="H227" s="4" t="n">
        <v>8763.2</v>
      </c>
      <c r="I227" s="4" t="n">
        <v>11207.8</v>
      </c>
      <c r="BC227" s="4" t="n">
        <v>122.1</v>
      </c>
      <c r="BO227" s="4" t="n">
        <v>47</v>
      </c>
      <c r="BT227" s="4" t="n">
        <v>5</v>
      </c>
      <c r="CD227" s="4" t="n">
        <v>121.1</v>
      </c>
      <c r="CI227" s="4" t="n">
        <v>531.4</v>
      </c>
      <c r="CJ227" s="4" t="n">
        <v>289.2</v>
      </c>
      <c r="CK227" s="4" t="n">
        <v>362.2</v>
      </c>
      <c r="CM227" s="4" t="n">
        <v>294.2</v>
      </c>
      <c r="CR227" s="4" t="n">
        <v>19</v>
      </c>
      <c r="CS227" s="4" t="n">
        <v>26</v>
      </c>
      <c r="CW227" s="4" t="n">
        <v>1346.9</v>
      </c>
      <c r="CX227" s="4" t="n">
        <v>63</v>
      </c>
      <c r="CY227" s="4" t="n">
        <v>11</v>
      </c>
      <c r="CZ227" s="4" t="n">
        <v>603.4</v>
      </c>
      <c r="LV227" s="4" t="n">
        <v>512.4</v>
      </c>
      <c r="LW227" s="4" t="n">
        <v>-12123.7</v>
      </c>
      <c r="LX227" s="5" t="n">
        <f aca="false">SUM(B227:LW227)</f>
        <v>17359.4</v>
      </c>
    </row>
    <row r="228" customFormat="false" ht="15" hidden="false" customHeight="false" outlineLevel="0" collapsed="false">
      <c r="A228" s="3" t="s">
        <v>240</v>
      </c>
      <c r="LV228" s="4" t="n">
        <v>7598.7</v>
      </c>
      <c r="LX228" s="5" t="n">
        <f aca="false">SUM(B228:LW228)</f>
        <v>7598.7</v>
      </c>
    </row>
    <row r="229" customFormat="false" ht="15" hidden="false" customHeight="false" outlineLevel="0" collapsed="false">
      <c r="A229" s="3" t="s">
        <v>241</v>
      </c>
      <c r="F229" s="4" t="n">
        <v>8193.7</v>
      </c>
      <c r="G229" s="4" t="n">
        <v>597</v>
      </c>
      <c r="H229" s="4" t="n">
        <v>14934.5</v>
      </c>
      <c r="I229" s="4" t="n">
        <v>19100.7</v>
      </c>
      <c r="X229" s="4" t="n">
        <v>5.2</v>
      </c>
      <c r="Y229" s="4" t="n">
        <v>3.3</v>
      </c>
      <c r="Z229" s="4" t="n">
        <v>8.6</v>
      </c>
      <c r="AC229" s="4" t="n">
        <v>10.4</v>
      </c>
      <c r="AD229" s="4" t="n">
        <v>27.7</v>
      </c>
      <c r="AE229" s="4" t="n">
        <v>21.2</v>
      </c>
      <c r="AF229" s="4" t="n">
        <v>60.4</v>
      </c>
      <c r="AG229" s="4" t="n">
        <v>277.8</v>
      </c>
      <c r="AH229" s="4" t="n">
        <v>81.3</v>
      </c>
      <c r="AI229" s="4" t="n">
        <v>19.1</v>
      </c>
      <c r="AL229" s="4" t="n">
        <v>287</v>
      </c>
      <c r="AM229" s="4" t="n">
        <v>1084.8</v>
      </c>
      <c r="AN229" s="4" t="n">
        <v>408.4</v>
      </c>
      <c r="BE229" s="4" t="n">
        <v>8127.5</v>
      </c>
      <c r="BF229" s="4" t="n">
        <v>203.7</v>
      </c>
      <c r="BI229" s="4" t="n">
        <v>220.8</v>
      </c>
      <c r="BJ229" s="4" t="n">
        <v>24.1</v>
      </c>
      <c r="BN229" s="4" t="n">
        <v>2</v>
      </c>
      <c r="BO229" s="4" t="n">
        <v>55.2</v>
      </c>
      <c r="BP229" s="4" t="n">
        <v>6</v>
      </c>
      <c r="BQ229" s="4" t="n">
        <v>7</v>
      </c>
      <c r="BR229" s="4" t="n">
        <v>2851</v>
      </c>
      <c r="BS229" s="4" t="n">
        <v>397.4</v>
      </c>
      <c r="BT229" s="4" t="n">
        <v>70.2</v>
      </c>
      <c r="BV229" s="4" t="n">
        <v>8</v>
      </c>
      <c r="BW229" s="4" t="n">
        <v>35.1</v>
      </c>
      <c r="BX229" s="4" t="n">
        <v>286</v>
      </c>
      <c r="BY229" s="4" t="n">
        <v>1</v>
      </c>
      <c r="BZ229" s="4" t="n">
        <v>22.1</v>
      </c>
      <c r="CA229" s="4" t="n">
        <v>648.3</v>
      </c>
      <c r="CB229" s="4" t="n">
        <v>428.5</v>
      </c>
      <c r="CD229" s="4" t="n">
        <v>147.5</v>
      </c>
      <c r="CE229" s="4" t="n">
        <v>62.2</v>
      </c>
      <c r="CF229" s="4" t="n">
        <v>1765.2</v>
      </c>
      <c r="CG229" s="4" t="n">
        <v>13</v>
      </c>
      <c r="CH229" s="4" t="n">
        <v>377.3</v>
      </c>
      <c r="CI229" s="4" t="n">
        <v>4319.1</v>
      </c>
      <c r="CJ229" s="4" t="n">
        <v>2136.5</v>
      </c>
      <c r="CK229" s="4" t="n">
        <v>10050.2</v>
      </c>
      <c r="CL229" s="4" t="n">
        <v>7868.6</v>
      </c>
      <c r="CM229" s="4" t="n">
        <v>4071.3</v>
      </c>
      <c r="CN229" s="4" t="n">
        <v>21.1</v>
      </c>
      <c r="CO229" s="4" t="n">
        <v>10</v>
      </c>
      <c r="CP229" s="4" t="n">
        <v>4502.8</v>
      </c>
      <c r="CQ229" s="4" t="n">
        <v>18772.7</v>
      </c>
      <c r="CR229" s="4" t="n">
        <v>7708</v>
      </c>
      <c r="CS229" s="4" t="n">
        <v>200.7</v>
      </c>
      <c r="CT229" s="4" t="n">
        <v>4692.4</v>
      </c>
      <c r="CU229" s="4" t="n">
        <v>160.6</v>
      </c>
      <c r="CV229" s="4" t="n">
        <v>81.3</v>
      </c>
      <c r="CW229" s="4" t="n">
        <v>6518.8</v>
      </c>
      <c r="CX229" s="4" t="n">
        <v>430.5</v>
      </c>
      <c r="CY229" s="4" t="n">
        <v>703.5</v>
      </c>
      <c r="CZ229" s="4" t="n">
        <v>4332.2</v>
      </c>
      <c r="LW229" s="4" t="n">
        <v>-41053.6</v>
      </c>
      <c r="LX229" s="5" t="n">
        <f aca="false">SUM(B229:LW229)</f>
        <v>96406.9</v>
      </c>
    </row>
    <row r="230" customFormat="false" ht="15" hidden="false" customHeight="false" outlineLevel="0" collapsed="false">
      <c r="A230" s="3" t="s">
        <v>242</v>
      </c>
      <c r="F230" s="4" t="n">
        <v>62.9</v>
      </c>
      <c r="G230" s="4" t="n">
        <v>4.6</v>
      </c>
      <c r="H230" s="4" t="n">
        <v>114.6</v>
      </c>
      <c r="I230" s="4" t="n">
        <v>146.6</v>
      </c>
      <c r="BC230" s="4" t="n">
        <v>240.5</v>
      </c>
      <c r="BR230" s="4" t="n">
        <v>108.2</v>
      </c>
      <c r="CI230" s="4" t="n">
        <v>1230.6</v>
      </c>
      <c r="CR230" s="4" t="n">
        <v>1818.8</v>
      </c>
      <c r="CU230" s="4" t="n">
        <v>381.8</v>
      </c>
      <c r="CW230" s="4" t="n">
        <v>9384.7</v>
      </c>
      <c r="CX230" s="4" t="n">
        <v>2683.6</v>
      </c>
      <c r="CY230" s="4" t="n">
        <v>5319.2</v>
      </c>
      <c r="CZ230" s="4" t="n">
        <v>504.1</v>
      </c>
      <c r="LV230" s="4" t="n">
        <v>-683.6</v>
      </c>
      <c r="LX230" s="5" t="n">
        <f aca="false">SUM(B230:LW230)</f>
        <v>21316.6</v>
      </c>
    </row>
    <row r="231" customFormat="false" ht="15" hidden="false" customHeight="false" outlineLevel="0" collapsed="false">
      <c r="A231" s="3" t="s">
        <v>243</v>
      </c>
      <c r="F231" s="4" t="n">
        <v>66904.2</v>
      </c>
      <c r="G231" s="4" t="n">
        <v>4875.1</v>
      </c>
      <c r="H231" s="4" t="n">
        <v>121945.1</v>
      </c>
      <c r="I231" s="4" t="n">
        <v>155962.6</v>
      </c>
      <c r="AN231" s="4" t="n">
        <v>408.8</v>
      </c>
      <c r="BC231" s="4" t="n">
        <v>4630.8</v>
      </c>
      <c r="BO231" s="4" t="n">
        <v>28.1</v>
      </c>
      <c r="BR231" s="4" t="n">
        <v>149.7</v>
      </c>
      <c r="CU231" s="4" t="n">
        <v>312.4</v>
      </c>
      <c r="CW231" s="4" t="n">
        <v>13704.6</v>
      </c>
      <c r="CX231" s="4" t="n">
        <v>2976.4</v>
      </c>
      <c r="CY231" s="4" t="n">
        <v>5804.1</v>
      </c>
      <c r="CZ231" s="4" t="n">
        <v>7075.8</v>
      </c>
      <c r="LX231" s="5" t="n">
        <f aca="false">SUM(B231:LW231)</f>
        <v>384777.7</v>
      </c>
    </row>
    <row r="232" customFormat="false" ht="15" hidden="false" customHeight="false" outlineLevel="0" collapsed="false">
      <c r="A232" s="3" t="s">
        <v>244</v>
      </c>
      <c r="F232" s="4" t="n">
        <v>9806.2</v>
      </c>
      <c r="G232" s="4" t="n">
        <v>714.5</v>
      </c>
      <c r="H232" s="4" t="n">
        <v>17873.6</v>
      </c>
      <c r="I232" s="4" t="n">
        <v>22859.6</v>
      </c>
      <c r="AI232" s="4" t="n">
        <v>9</v>
      </c>
      <c r="AM232" s="4" t="n">
        <v>5348.9</v>
      </c>
      <c r="AN232" s="4" t="n">
        <v>498</v>
      </c>
      <c r="AX232" s="4" t="n">
        <v>2699.5</v>
      </c>
      <c r="BC232" s="4" t="n">
        <v>2918.9</v>
      </c>
      <c r="BD232" s="4" t="n">
        <v>268.5</v>
      </c>
      <c r="BE232" s="4" t="n">
        <v>13834.1</v>
      </c>
      <c r="BF232" s="4" t="n">
        <v>6261.7</v>
      </c>
      <c r="BI232" s="4" t="n">
        <v>1129.3</v>
      </c>
      <c r="BJ232" s="4" t="n">
        <v>239.5</v>
      </c>
      <c r="BO232" s="4" t="n">
        <v>107.2</v>
      </c>
      <c r="BP232" s="4" t="n">
        <v>77.2</v>
      </c>
      <c r="BQ232" s="4" t="n">
        <v>309.6</v>
      </c>
      <c r="BR232" s="4" t="n">
        <v>14498.4</v>
      </c>
      <c r="BS232" s="4" t="n">
        <v>36.1</v>
      </c>
      <c r="BT232" s="4" t="n">
        <v>42.1</v>
      </c>
      <c r="BV232" s="4" t="n">
        <v>170.3</v>
      </c>
      <c r="BW232" s="4" t="n">
        <v>17</v>
      </c>
      <c r="BX232" s="4" t="n">
        <v>62.1</v>
      </c>
      <c r="BY232" s="4" t="n">
        <v>170.3</v>
      </c>
      <c r="BZ232" s="4" t="n">
        <v>172.3</v>
      </c>
      <c r="CA232" s="4" t="n">
        <v>297.6</v>
      </c>
      <c r="CB232" s="4" t="n">
        <v>552.1</v>
      </c>
      <c r="CC232" s="4" t="n">
        <v>1034.1</v>
      </c>
      <c r="CD232" s="4" t="n">
        <v>18333.2</v>
      </c>
      <c r="CE232" s="4" t="n">
        <v>18</v>
      </c>
      <c r="CF232" s="4" t="n">
        <v>1121.3</v>
      </c>
      <c r="CG232" s="4" t="n">
        <v>6</v>
      </c>
      <c r="CH232" s="4" t="n">
        <v>1413.9</v>
      </c>
      <c r="CI232" s="4" t="n">
        <v>374.8</v>
      </c>
      <c r="CJ232" s="4" t="n">
        <v>173.4</v>
      </c>
      <c r="CK232" s="4" t="n">
        <v>12243.9</v>
      </c>
      <c r="CL232" s="4" t="n">
        <v>67311.7</v>
      </c>
      <c r="CM232" s="4" t="n">
        <v>1202.4</v>
      </c>
      <c r="CN232" s="4" t="n">
        <v>99.2</v>
      </c>
      <c r="CO232" s="4" t="n">
        <v>121.2</v>
      </c>
      <c r="CP232" s="4" t="n">
        <v>3137.4</v>
      </c>
      <c r="CQ232" s="4" t="n">
        <v>1846.7</v>
      </c>
      <c r="CR232" s="4" t="n">
        <v>32878.8</v>
      </c>
      <c r="CS232" s="4" t="n">
        <v>64.1</v>
      </c>
      <c r="CT232" s="4" t="n">
        <v>16395.3</v>
      </c>
      <c r="CU232" s="4" t="n">
        <v>972</v>
      </c>
      <c r="CW232" s="4" t="n">
        <v>32250.5</v>
      </c>
      <c r="CX232" s="4" t="n">
        <v>4092.3</v>
      </c>
      <c r="CY232" s="4" t="n">
        <v>11434.2</v>
      </c>
      <c r="CZ232" s="4" t="n">
        <v>2824.7</v>
      </c>
      <c r="LW232" s="4" t="n">
        <v>-77492.2</v>
      </c>
      <c r="LX232" s="5" t="n">
        <f aca="false">SUM(B232:LW232)</f>
        <v>232830.5</v>
      </c>
    </row>
    <row r="233" customFormat="false" ht="15" hidden="false" customHeight="false" outlineLevel="0" collapsed="false">
      <c r="A233" s="3" t="s">
        <v>245</v>
      </c>
      <c r="F233" s="4" t="n">
        <v>39715.1</v>
      </c>
      <c r="G233" s="4" t="n">
        <v>2893.9</v>
      </c>
      <c r="H233" s="4" t="n">
        <v>72387.9</v>
      </c>
      <c r="I233" s="4" t="n">
        <v>92581.2</v>
      </c>
      <c r="Q233" s="4" t="n">
        <v>180</v>
      </c>
      <c r="R233" s="4" t="n">
        <v>2.1</v>
      </c>
      <c r="S233" s="4" t="n">
        <v>19.1</v>
      </c>
      <c r="T233" s="4" t="n">
        <v>24.2</v>
      </c>
      <c r="U233" s="4" t="n">
        <v>118.7</v>
      </c>
      <c r="V233" s="4" t="n">
        <v>133</v>
      </c>
      <c r="W233" s="4" t="n">
        <v>1.1</v>
      </c>
      <c r="X233" s="4" t="n">
        <v>3.7</v>
      </c>
      <c r="Y233" s="4" t="n">
        <v>2.3</v>
      </c>
      <c r="Z233" s="4" t="n">
        <v>6</v>
      </c>
      <c r="AA233" s="4" t="n">
        <v>13</v>
      </c>
      <c r="AB233" s="4" t="n">
        <v>1.1</v>
      </c>
      <c r="AC233" s="4" t="n">
        <v>3.5</v>
      </c>
      <c r="AD233" s="4" t="n">
        <v>9.4</v>
      </c>
      <c r="AE233" s="4" t="n">
        <v>7.2</v>
      </c>
      <c r="AF233" s="4" t="n">
        <v>7</v>
      </c>
      <c r="AG233" s="4" t="n">
        <v>32.2</v>
      </c>
      <c r="AH233" s="4" t="n">
        <v>12.1</v>
      </c>
      <c r="AI233" s="4" t="n">
        <v>9</v>
      </c>
      <c r="AJ233" s="4" t="n">
        <v>43.3</v>
      </c>
      <c r="AK233" s="4" t="n">
        <v>0.9</v>
      </c>
      <c r="AL233" s="4" t="n">
        <v>177.8</v>
      </c>
      <c r="AM233" s="4" t="n">
        <v>644</v>
      </c>
      <c r="AN233" s="4" t="n">
        <v>481.2</v>
      </c>
      <c r="AO233" s="4" t="n">
        <v>5281.2</v>
      </c>
      <c r="AP233" s="4" t="n">
        <v>633.9</v>
      </c>
      <c r="AQ233" s="4" t="n">
        <v>564.6</v>
      </c>
      <c r="AR233" s="4" t="n">
        <v>39.8</v>
      </c>
      <c r="AS233" s="4" t="n">
        <v>16</v>
      </c>
      <c r="AT233" s="4" t="n">
        <v>5.9</v>
      </c>
      <c r="AU233" s="4" t="n">
        <v>164.4</v>
      </c>
      <c r="AV233" s="4" t="n">
        <v>10.9</v>
      </c>
      <c r="AW233" s="4" t="n">
        <v>59.3</v>
      </c>
      <c r="AX233" s="4" t="n">
        <v>43.2</v>
      </c>
      <c r="AY233" s="4" t="n">
        <v>1</v>
      </c>
      <c r="BA233" s="4" t="n">
        <v>0.2</v>
      </c>
      <c r="BB233" s="4" t="n">
        <v>12.9</v>
      </c>
      <c r="BC233" s="4" t="n">
        <v>5575.5</v>
      </c>
      <c r="BD233" s="4" t="n">
        <v>5</v>
      </c>
      <c r="BE233" s="4" t="n">
        <v>5482.1</v>
      </c>
      <c r="BF233" s="4" t="n">
        <v>992.5</v>
      </c>
      <c r="BI233" s="4" t="n">
        <v>651</v>
      </c>
      <c r="BJ233" s="4" t="n">
        <v>76.3</v>
      </c>
      <c r="BN233" s="4" t="n">
        <v>6</v>
      </c>
      <c r="BO233" s="4" t="n">
        <v>139.6</v>
      </c>
      <c r="BP233" s="4" t="n">
        <v>53.2</v>
      </c>
      <c r="BQ233" s="4" t="n">
        <v>69.3</v>
      </c>
      <c r="BR233" s="4" t="n">
        <v>4500.6</v>
      </c>
      <c r="BS233" s="4" t="n">
        <v>998.6</v>
      </c>
      <c r="BT233" s="4" t="n">
        <v>27.1</v>
      </c>
      <c r="BU233" s="4" t="n">
        <v>5</v>
      </c>
      <c r="BV233" s="4" t="n">
        <v>5</v>
      </c>
      <c r="BW233" s="4" t="n">
        <v>56.3</v>
      </c>
      <c r="BX233" s="4" t="n">
        <v>928.3</v>
      </c>
      <c r="BY233" s="4" t="n">
        <v>2</v>
      </c>
      <c r="BZ233" s="4" t="n">
        <v>35.2</v>
      </c>
      <c r="CA233" s="4" t="n">
        <v>1125.2</v>
      </c>
      <c r="CB233" s="4" t="n">
        <v>1892.7</v>
      </c>
      <c r="CC233" s="4" t="n">
        <v>1465.7</v>
      </c>
      <c r="CD233" s="4" t="n">
        <v>3850.6</v>
      </c>
      <c r="CE233" s="4" t="n">
        <v>115.5</v>
      </c>
      <c r="CF233" s="4" t="n">
        <v>4607.1</v>
      </c>
      <c r="CG233" s="4" t="n">
        <v>46.2</v>
      </c>
      <c r="CH233" s="4" t="n">
        <v>430</v>
      </c>
      <c r="CI233" s="4" t="n">
        <v>499.3</v>
      </c>
      <c r="CJ233" s="4" t="n">
        <v>904.1</v>
      </c>
      <c r="CK233" s="4" t="n">
        <v>18706.7</v>
      </c>
      <c r="CL233" s="4" t="n">
        <v>63028.8</v>
      </c>
      <c r="CM233" s="4" t="n">
        <v>6226.5</v>
      </c>
      <c r="CN233" s="4" t="n">
        <v>295.4</v>
      </c>
      <c r="CO233" s="4" t="n">
        <v>103.5</v>
      </c>
      <c r="CP233" s="4" t="n">
        <v>19999.6</v>
      </c>
      <c r="CQ233" s="4" t="n">
        <v>22662.8</v>
      </c>
      <c r="CR233" s="4" t="n">
        <v>26051.4</v>
      </c>
      <c r="CS233" s="4" t="n">
        <v>350.6</v>
      </c>
      <c r="CT233" s="4" t="n">
        <v>15326.2</v>
      </c>
      <c r="CU233" s="4" t="n">
        <v>972.5</v>
      </c>
      <c r="CV233" s="4" t="n">
        <v>3130.3</v>
      </c>
      <c r="CW233" s="4" t="n">
        <v>17022</v>
      </c>
      <c r="CX233" s="4" t="n">
        <v>1896.7</v>
      </c>
      <c r="CY233" s="4" t="n">
        <v>3702</v>
      </c>
      <c r="CZ233" s="4" t="n">
        <v>16108.8</v>
      </c>
      <c r="LW233" s="4" t="n">
        <v>-21625.3</v>
      </c>
      <c r="LX233" s="5" t="n">
        <f aca="false">SUM(B233:LW233)</f>
        <v>444846.8</v>
      </c>
    </row>
    <row r="234" customFormat="false" ht="15" hidden="false" customHeight="false" outlineLevel="0" collapsed="false">
      <c r="A234" s="3" t="s">
        <v>246</v>
      </c>
      <c r="F234" s="4" t="n">
        <v>15875.6</v>
      </c>
      <c r="G234" s="4" t="n">
        <v>1156.8</v>
      </c>
      <c r="H234" s="4" t="n">
        <v>28936.2</v>
      </c>
      <c r="I234" s="4" t="n">
        <v>37008.2</v>
      </c>
      <c r="L234" s="4" t="n">
        <v>14492.4</v>
      </c>
      <c r="Q234" s="4" t="n">
        <v>938.8</v>
      </c>
      <c r="R234" s="4" t="n">
        <v>10.9</v>
      </c>
      <c r="S234" s="4" t="n">
        <v>99.7</v>
      </c>
      <c r="T234" s="4" t="n">
        <v>126.2</v>
      </c>
      <c r="U234" s="4" t="n">
        <v>619.1</v>
      </c>
      <c r="V234" s="4" t="n">
        <v>693.6</v>
      </c>
      <c r="W234" s="4" t="n">
        <v>5.9</v>
      </c>
      <c r="AA234" s="4" t="n">
        <v>15.7</v>
      </c>
      <c r="AB234" s="4" t="n">
        <v>1.3</v>
      </c>
      <c r="AC234" s="4" t="n">
        <v>5.6</v>
      </c>
      <c r="AD234" s="4" t="n">
        <v>15</v>
      </c>
      <c r="AE234" s="4" t="n">
        <v>11.5</v>
      </c>
      <c r="AF234" s="4" t="n">
        <v>6.4</v>
      </c>
      <c r="AG234" s="4" t="n">
        <v>29.6</v>
      </c>
      <c r="AH234" s="4" t="n">
        <v>10</v>
      </c>
      <c r="AL234" s="4" t="n">
        <v>348.7</v>
      </c>
      <c r="AM234" s="4" t="n">
        <v>7659</v>
      </c>
      <c r="AN234" s="4" t="n">
        <v>22</v>
      </c>
      <c r="AP234" s="4" t="n">
        <v>243.5</v>
      </c>
      <c r="AQ234" s="4" t="n">
        <v>108.2</v>
      </c>
      <c r="AW234" s="4" t="n">
        <v>36.1</v>
      </c>
      <c r="BE234" s="4" t="n">
        <v>26535.6</v>
      </c>
      <c r="BF234" s="4" t="n">
        <v>4757</v>
      </c>
      <c r="BI234" s="4" t="n">
        <v>903.9</v>
      </c>
      <c r="BJ234" s="4" t="n">
        <v>441.9</v>
      </c>
      <c r="BL234" s="4" t="n">
        <v>2</v>
      </c>
      <c r="BN234" s="4" t="n">
        <v>31.1</v>
      </c>
      <c r="BO234" s="4" t="n">
        <v>423.9</v>
      </c>
      <c r="BP234" s="4" t="n">
        <v>52.1</v>
      </c>
      <c r="BQ234" s="4" t="n">
        <v>41.1</v>
      </c>
      <c r="BR234" s="4" t="n">
        <v>7855.5</v>
      </c>
      <c r="BS234" s="4" t="n">
        <v>162.3</v>
      </c>
      <c r="BT234" s="4" t="n">
        <v>27.1</v>
      </c>
      <c r="BV234" s="4" t="n">
        <v>10</v>
      </c>
      <c r="BW234" s="4" t="n">
        <v>227.5</v>
      </c>
      <c r="BX234" s="4" t="n">
        <v>996.1</v>
      </c>
      <c r="BY234" s="4" t="n">
        <v>2</v>
      </c>
      <c r="BZ234" s="4" t="n">
        <v>65.1</v>
      </c>
      <c r="CA234" s="4" t="n">
        <v>561.2</v>
      </c>
      <c r="CB234" s="4" t="n">
        <v>409.9</v>
      </c>
      <c r="CC234" s="4" t="n">
        <v>8445.7</v>
      </c>
      <c r="CD234" s="4" t="n">
        <v>4545.5</v>
      </c>
      <c r="CE234" s="4" t="n">
        <v>62.1</v>
      </c>
      <c r="CF234" s="4" t="n">
        <v>7609.9</v>
      </c>
      <c r="CG234" s="4" t="n">
        <v>157.3</v>
      </c>
      <c r="CH234" s="4" t="n">
        <v>233.5</v>
      </c>
      <c r="CI234" s="4" t="n">
        <v>9054</v>
      </c>
      <c r="CJ234" s="4" t="n">
        <v>1201.5</v>
      </c>
      <c r="CK234" s="4" t="n">
        <v>28913.6</v>
      </c>
      <c r="CL234" s="4" t="n">
        <v>39645.1</v>
      </c>
      <c r="CM234" s="4" t="n">
        <v>1141.4</v>
      </c>
      <c r="CN234" s="4" t="n">
        <v>372.8</v>
      </c>
      <c r="CO234" s="4" t="n">
        <v>152.3</v>
      </c>
      <c r="CP234" s="4" t="n">
        <v>15507.5</v>
      </c>
      <c r="CQ234" s="4" t="n">
        <v>33294.7</v>
      </c>
      <c r="CR234" s="4" t="n">
        <v>24313.9</v>
      </c>
      <c r="CS234" s="4" t="n">
        <v>2612.5</v>
      </c>
      <c r="CT234" s="4" t="n">
        <v>6584.8</v>
      </c>
      <c r="CU234" s="4" t="n">
        <v>90.2</v>
      </c>
      <c r="CW234" s="4" t="n">
        <v>4510.4</v>
      </c>
      <c r="CX234" s="4" t="n">
        <v>2972.2</v>
      </c>
      <c r="CY234" s="4" t="n">
        <v>2318.9</v>
      </c>
      <c r="CZ234" s="4" t="n">
        <v>6689</v>
      </c>
      <c r="LW234" s="4" t="n">
        <v>-104991.5</v>
      </c>
      <c r="LX234" s="5" t="n">
        <f aca="false">SUM(B234:LW234)</f>
        <v>247418.6</v>
      </c>
    </row>
    <row r="235" customFormat="false" ht="15" hidden="false" customHeight="false" outlineLevel="0" collapsed="false">
      <c r="A235" s="3" t="s">
        <v>247</v>
      </c>
      <c r="F235" s="4" t="n">
        <v>77297.1</v>
      </c>
      <c r="G235" s="4" t="n">
        <v>5632.4</v>
      </c>
      <c r="H235" s="4" t="n">
        <v>140888</v>
      </c>
      <c r="I235" s="4" t="n">
        <v>180189.9</v>
      </c>
      <c r="BE235" s="4" t="n">
        <v>1134.5</v>
      </c>
      <c r="BR235" s="4" t="n">
        <v>383.2</v>
      </c>
      <c r="BT235" s="4" t="n">
        <v>5.1</v>
      </c>
      <c r="BY235" s="4" t="n">
        <v>305.4</v>
      </c>
      <c r="BZ235" s="4" t="n">
        <v>324.6</v>
      </c>
      <c r="CA235" s="4" t="n">
        <v>1377.2</v>
      </c>
      <c r="CC235" s="4" t="n">
        <v>1616.9</v>
      </c>
      <c r="CJ235" s="4" t="n">
        <v>620.9</v>
      </c>
      <c r="CR235" s="4" t="n">
        <v>3508.8</v>
      </c>
      <c r="CT235" s="4" t="n">
        <v>22659.6</v>
      </c>
      <c r="CU235" s="4" t="n">
        <v>151.7</v>
      </c>
      <c r="CW235" s="4" t="n">
        <v>11995.6</v>
      </c>
      <c r="CX235" s="4" t="n">
        <v>18868.6</v>
      </c>
      <c r="CY235" s="4" t="n">
        <v>7612.2</v>
      </c>
      <c r="CZ235" s="4" t="n">
        <v>2997.1</v>
      </c>
      <c r="LX235" s="5" t="n">
        <f aca="false">SUM(B235:LW235)</f>
        <v>477568.8</v>
      </c>
    </row>
    <row r="236" customFormat="false" ht="15" hidden="false" customHeight="false" outlineLevel="0" collapsed="false">
      <c r="A236" s="3" t="s">
        <v>248</v>
      </c>
      <c r="F236" s="4" t="n">
        <v>2825.2</v>
      </c>
      <c r="G236" s="4" t="n">
        <v>205.9</v>
      </c>
      <c r="H236" s="4" t="n">
        <v>5149.5</v>
      </c>
      <c r="I236" s="4" t="n">
        <v>6586</v>
      </c>
      <c r="AC236" s="4" t="n">
        <v>0.9</v>
      </c>
      <c r="AD236" s="4" t="n">
        <v>2.3</v>
      </c>
      <c r="AE236" s="4" t="n">
        <v>1.8</v>
      </c>
      <c r="AF236" s="4" t="n">
        <v>0.9</v>
      </c>
      <c r="AG236" s="4" t="n">
        <v>4.1</v>
      </c>
      <c r="AH236" s="4" t="n">
        <v>1</v>
      </c>
      <c r="AI236" s="4" t="n">
        <v>1</v>
      </c>
      <c r="AM236" s="4" t="n">
        <v>5408.9</v>
      </c>
      <c r="BE236" s="4" t="n">
        <v>77383.3</v>
      </c>
      <c r="BF236" s="4" t="n">
        <v>5782.7</v>
      </c>
      <c r="BI236" s="4" t="n">
        <v>851.9</v>
      </c>
      <c r="BJ236" s="4" t="n">
        <v>20</v>
      </c>
      <c r="BN236" s="4" t="n">
        <v>3</v>
      </c>
      <c r="BO236" s="4" t="n">
        <v>1256.8</v>
      </c>
      <c r="BP236" s="4" t="n">
        <v>421.9</v>
      </c>
      <c r="BQ236" s="4" t="n">
        <v>7</v>
      </c>
      <c r="BR236" s="4" t="n">
        <v>3706.2</v>
      </c>
      <c r="BS236" s="4" t="n">
        <v>740.6</v>
      </c>
      <c r="BT236" s="4" t="n">
        <v>91.2</v>
      </c>
      <c r="BV236" s="4" t="n">
        <v>8</v>
      </c>
      <c r="BW236" s="4" t="n">
        <v>22</v>
      </c>
      <c r="BX236" s="4" t="n">
        <v>783.7</v>
      </c>
      <c r="BZ236" s="4" t="n">
        <v>45.1</v>
      </c>
      <c r="CA236" s="4" t="n">
        <v>921</v>
      </c>
      <c r="CB236" s="4" t="n">
        <v>1339.9</v>
      </c>
      <c r="CC236" s="4" t="n">
        <v>2407.3</v>
      </c>
      <c r="CD236" s="4" t="n">
        <v>6398.1</v>
      </c>
      <c r="CE236" s="4" t="n">
        <v>75.2</v>
      </c>
      <c r="CF236" s="4" t="n">
        <v>1392.1</v>
      </c>
      <c r="CG236" s="4" t="n">
        <v>115.3</v>
      </c>
      <c r="CH236" s="4" t="n">
        <v>991.2</v>
      </c>
      <c r="CI236" s="4" t="n">
        <v>4802.6</v>
      </c>
      <c r="CJ236" s="4" t="n">
        <v>3264.2</v>
      </c>
      <c r="CK236" s="4" t="n">
        <v>33177</v>
      </c>
      <c r="CL236" s="4" t="n">
        <v>53043.8</v>
      </c>
      <c r="CM236" s="4" t="n">
        <v>903</v>
      </c>
      <c r="CN236" s="4" t="n">
        <v>919</v>
      </c>
      <c r="CO236" s="4" t="n">
        <v>308.7</v>
      </c>
      <c r="CP236" s="4" t="n">
        <v>14481.9</v>
      </c>
      <c r="CQ236" s="4" t="n">
        <v>31186.7</v>
      </c>
      <c r="CR236" s="4" t="n">
        <v>11157.6</v>
      </c>
      <c r="CS236" s="4" t="n">
        <v>172.4</v>
      </c>
      <c r="CT236" s="4" t="n">
        <v>10229.5</v>
      </c>
      <c r="CU236" s="4" t="n">
        <v>31.1</v>
      </c>
      <c r="CV236" s="4" t="n">
        <v>181.4</v>
      </c>
      <c r="CW236" s="4" t="n">
        <v>24124.1</v>
      </c>
      <c r="CX236" s="4" t="n">
        <v>2845.3</v>
      </c>
      <c r="CY236" s="4" t="n">
        <v>2144.7</v>
      </c>
      <c r="CZ236" s="4" t="n">
        <v>6399.1</v>
      </c>
      <c r="LV236" s="4" t="n">
        <v>375.8</v>
      </c>
      <c r="LW236" s="4" t="n">
        <v>-55893.6</v>
      </c>
      <c r="LX236" s="5" t="n">
        <f aca="false">SUM(B236:LW236)</f>
        <v>268805.3</v>
      </c>
    </row>
    <row r="237" customFormat="false" ht="15" hidden="false" customHeight="false" outlineLevel="0" collapsed="false">
      <c r="A237" s="3" t="s">
        <v>249</v>
      </c>
      <c r="LV237" s="4" t="n">
        <v>15277.4</v>
      </c>
      <c r="LW237" s="4" t="n">
        <v>-4761.1</v>
      </c>
      <c r="LX237" s="5" t="n">
        <f aca="false">SUM(B237:LW237)</f>
        <v>10516.3</v>
      </c>
    </row>
    <row r="238" customFormat="false" ht="15" hidden="false" customHeight="false" outlineLevel="0" collapsed="false">
      <c r="A238" s="3" t="s">
        <v>250</v>
      </c>
      <c r="F238" s="4" t="n">
        <v>380.4</v>
      </c>
      <c r="G238" s="4" t="n">
        <v>27.7</v>
      </c>
      <c r="H238" s="4" t="n">
        <v>693.4</v>
      </c>
      <c r="I238" s="4" t="n">
        <v>886.8</v>
      </c>
      <c r="AP238" s="4" t="n">
        <v>5313.9</v>
      </c>
      <c r="AQ238" s="4" t="n">
        <v>1575.8</v>
      </c>
      <c r="AR238" s="4" t="n">
        <v>63.6</v>
      </c>
      <c r="AS238" s="4" t="n">
        <v>25.5</v>
      </c>
      <c r="AT238" s="4" t="n">
        <v>9.5</v>
      </c>
      <c r="AU238" s="4" t="n">
        <v>262.3</v>
      </c>
      <c r="AV238" s="4" t="n">
        <v>17.5</v>
      </c>
      <c r="AW238" s="4" t="n">
        <v>743.6</v>
      </c>
      <c r="BI238" s="4" t="n">
        <v>86.5</v>
      </c>
      <c r="LX238" s="5" t="n">
        <f aca="false">SUM(B238:LW238)</f>
        <v>10086.5</v>
      </c>
    </row>
    <row r="239" customFormat="false" ht="15" hidden="false" customHeight="false" outlineLevel="0" collapsed="false">
      <c r="A239" s="3" t="s">
        <v>251</v>
      </c>
      <c r="F239" s="4" t="n">
        <v>198955.2</v>
      </c>
      <c r="G239" s="4" t="n">
        <v>14497.2</v>
      </c>
      <c r="H239" s="4" t="n">
        <v>362631.9</v>
      </c>
      <c r="I239" s="4" t="n">
        <v>463791.1</v>
      </c>
      <c r="L239" s="4" t="n">
        <v>1039875.4</v>
      </c>
      <c r="LW239" s="4" t="n">
        <v>-1036562.3</v>
      </c>
      <c r="LX239" s="5" t="n">
        <f aca="false">SUM(B239:LW239)</f>
        <v>1043188.5</v>
      </c>
    </row>
    <row r="240" customFormat="false" ht="15" hidden="false" customHeight="false" outlineLevel="0" collapsed="false">
      <c r="A240" s="3" t="s">
        <v>252</v>
      </c>
      <c r="F240" s="4" t="n">
        <v>98922.6</v>
      </c>
      <c r="G240" s="4" t="n">
        <v>7208.2</v>
      </c>
      <c r="H240" s="4" t="n">
        <v>180304.3</v>
      </c>
      <c r="I240" s="4" t="n">
        <v>230601.7</v>
      </c>
      <c r="L240" s="4" t="n">
        <v>381581</v>
      </c>
      <c r="AM240" s="4" t="n">
        <v>270.2</v>
      </c>
      <c r="BE240" s="4" t="n">
        <v>1872.4</v>
      </c>
      <c r="BF240" s="4" t="n">
        <v>111.1</v>
      </c>
      <c r="BI240" s="4" t="n">
        <v>29</v>
      </c>
      <c r="BP240" s="4" t="n">
        <v>13</v>
      </c>
      <c r="BR240" s="4" t="n">
        <v>159.1</v>
      </c>
      <c r="BS240" s="4" t="n">
        <v>13</v>
      </c>
      <c r="BX240" s="4" t="n">
        <v>11</v>
      </c>
      <c r="CA240" s="4" t="n">
        <v>6</v>
      </c>
      <c r="CB240" s="4" t="n">
        <v>15</v>
      </c>
      <c r="CC240" s="4" t="n">
        <v>43</v>
      </c>
      <c r="CD240" s="4" t="n">
        <v>6</v>
      </c>
      <c r="CE240" s="4" t="n">
        <v>14</v>
      </c>
      <c r="CI240" s="4" t="n">
        <v>1218.9</v>
      </c>
      <c r="CJ240" s="4" t="n">
        <v>1658.2</v>
      </c>
      <c r="CK240" s="4" t="n">
        <v>1201.9</v>
      </c>
      <c r="CL240" s="4" t="n">
        <v>863.6</v>
      </c>
      <c r="CM240" s="4" t="n">
        <v>53</v>
      </c>
      <c r="CN240" s="4" t="n">
        <v>81.1</v>
      </c>
      <c r="CP240" s="4" t="n">
        <v>326.2</v>
      </c>
      <c r="CQ240" s="4" t="n">
        <v>3</v>
      </c>
      <c r="CT240" s="4" t="n">
        <v>684.5</v>
      </c>
      <c r="CW240" s="4" t="n">
        <v>1201.9</v>
      </c>
      <c r="CX240" s="4" t="n">
        <v>4349.2</v>
      </c>
      <c r="CY240" s="4" t="n">
        <v>773.6</v>
      </c>
      <c r="CZ240" s="4" t="n">
        <v>3090.3</v>
      </c>
      <c r="LW240" s="4" t="n">
        <v>-381013.2</v>
      </c>
      <c r="LX240" s="5" t="n">
        <f aca="false">SUM(B240:LW240)</f>
        <v>535672.8</v>
      </c>
    </row>
    <row r="241" customFormat="false" ht="15" hidden="false" customHeight="false" outlineLevel="0" collapsed="false">
      <c r="A241" s="3" t="s">
        <v>253</v>
      </c>
      <c r="F241" s="4" t="n">
        <v>42568.3</v>
      </c>
      <c r="G241" s="4" t="n">
        <v>3101.8</v>
      </c>
      <c r="H241" s="4" t="n">
        <v>77588.5</v>
      </c>
      <c r="I241" s="4" t="n">
        <v>99232.4</v>
      </c>
      <c r="L241" s="4" t="n">
        <v>122390</v>
      </c>
      <c r="BE241" s="4" t="n">
        <v>10011.8</v>
      </c>
      <c r="BF241" s="4" t="n">
        <v>363.2</v>
      </c>
      <c r="CI241" s="4" t="n">
        <v>1382.8</v>
      </c>
      <c r="CJ241" s="4" t="n">
        <v>303.2</v>
      </c>
      <c r="CP241" s="4" t="n">
        <v>448.3</v>
      </c>
      <c r="CQ241" s="4" t="n">
        <v>1941.1</v>
      </c>
      <c r="CX241" s="4" t="n">
        <v>356.2</v>
      </c>
      <c r="CY241" s="4" t="n">
        <v>589.3</v>
      </c>
      <c r="CZ241" s="4" t="n">
        <v>851.5</v>
      </c>
      <c r="LW241" s="4" t="n">
        <v>-122248.1</v>
      </c>
      <c r="LX241" s="5" t="n">
        <f aca="false">SUM(B241:LW241)</f>
        <v>238880.3</v>
      </c>
    </row>
    <row r="242" customFormat="false" ht="15" hidden="false" customHeight="false" outlineLevel="0" collapsed="false">
      <c r="A242" s="3" t="s">
        <v>254</v>
      </c>
      <c r="F242" s="4" t="n">
        <v>85319.3</v>
      </c>
      <c r="G242" s="4" t="n">
        <v>6216.9</v>
      </c>
      <c r="H242" s="4" t="n">
        <v>155509.8</v>
      </c>
      <c r="I242" s="4" t="n">
        <v>198890.6</v>
      </c>
      <c r="L242" s="4" t="n">
        <v>12136.1</v>
      </c>
      <c r="AZ242" s="4" t="n">
        <v>18.1</v>
      </c>
      <c r="BR242" s="4" t="n">
        <v>1982.1</v>
      </c>
      <c r="CQ242" s="4" t="n">
        <v>1844.4</v>
      </c>
      <c r="CR242" s="4" t="n">
        <v>33.2</v>
      </c>
      <c r="CU242" s="4" t="n">
        <v>1</v>
      </c>
      <c r="CW242" s="4" t="n">
        <v>2737</v>
      </c>
      <c r="CX242" s="4" t="n">
        <v>230.2</v>
      </c>
      <c r="CZ242" s="4" t="n">
        <v>2576.2</v>
      </c>
      <c r="LW242" s="4" t="n">
        <v>-12012.1</v>
      </c>
      <c r="LX242" s="5" t="n">
        <f aca="false">SUM(B242:LW242)</f>
        <v>455482.8</v>
      </c>
    </row>
    <row r="243" customFormat="false" ht="15" hidden="false" customHeight="false" outlineLevel="0" collapsed="false">
      <c r="A243" s="3" t="s">
        <v>255</v>
      </c>
      <c r="BE243" s="4" t="n">
        <v>3501</v>
      </c>
      <c r="LW243" s="4" t="n">
        <v>-3170</v>
      </c>
      <c r="LX243" s="5" t="n">
        <f aca="false">SUM(B243:LW243)</f>
        <v>331</v>
      </c>
    </row>
    <row r="244" customFormat="false" ht="15" hidden="false" customHeight="false" outlineLevel="0" collapsed="false">
      <c r="A244" s="3" t="s">
        <v>256</v>
      </c>
      <c r="P244" s="4" t="n">
        <v>2949.2</v>
      </c>
      <c r="LX244" s="5" t="n">
        <f aca="false">SUM(B244:LW244)</f>
        <v>2949.2</v>
      </c>
    </row>
    <row r="245" customFormat="false" ht="15" hidden="false" customHeight="false" outlineLevel="0" collapsed="false">
      <c r="A245" s="3" t="s">
        <v>257</v>
      </c>
      <c r="P245" s="4" t="n">
        <v>34.4</v>
      </c>
      <c r="LX245" s="5" t="n">
        <f aca="false">SUM(B245:LW245)</f>
        <v>34.4</v>
      </c>
    </row>
    <row r="246" customFormat="false" ht="15" hidden="false" customHeight="false" outlineLevel="0" collapsed="false">
      <c r="A246" s="3" t="s">
        <v>258</v>
      </c>
      <c r="P246" s="4" t="n">
        <v>313</v>
      </c>
      <c r="LX246" s="5" t="n">
        <f aca="false">SUM(B246:LW246)</f>
        <v>313</v>
      </c>
    </row>
    <row r="247" customFormat="false" ht="15" hidden="false" customHeight="false" outlineLevel="0" collapsed="false">
      <c r="A247" s="3" t="s">
        <v>259</v>
      </c>
      <c r="P247" s="4" t="n">
        <v>396</v>
      </c>
      <c r="LX247" s="5" t="n">
        <f aca="false">SUM(B247:LW247)</f>
        <v>396</v>
      </c>
    </row>
    <row r="248" customFormat="false" ht="15" hidden="false" customHeight="false" outlineLevel="0" collapsed="false">
      <c r="A248" s="3" t="s">
        <v>260</v>
      </c>
      <c r="P248" s="4" t="n">
        <v>1952.3</v>
      </c>
      <c r="LX248" s="5" t="n">
        <f aca="false">SUM(B248:LW248)</f>
        <v>1952.3</v>
      </c>
    </row>
    <row r="249" customFormat="false" ht="15" hidden="false" customHeight="false" outlineLevel="0" collapsed="false">
      <c r="A249" s="3" t="s">
        <v>261</v>
      </c>
      <c r="P249" s="4" t="n">
        <v>2186.5</v>
      </c>
      <c r="LX249" s="5" t="n">
        <f aca="false">SUM(B249:LW249)</f>
        <v>2186.5</v>
      </c>
    </row>
    <row r="250" customFormat="false" ht="15" hidden="false" customHeight="false" outlineLevel="0" collapsed="false">
      <c r="A250" s="3" t="s">
        <v>262</v>
      </c>
      <c r="P250" s="4" t="n">
        <v>18.6</v>
      </c>
      <c r="LX250" s="5" t="n">
        <f aca="false">SUM(B250:LW250)</f>
        <v>18.6</v>
      </c>
    </row>
    <row r="251" customFormat="false" ht="15" hidden="false" customHeight="false" outlineLevel="0" collapsed="false">
      <c r="A251" s="3" t="s">
        <v>263</v>
      </c>
      <c r="P251" s="4" t="n">
        <v>138.9</v>
      </c>
      <c r="LX251" s="5" t="n">
        <f aca="false">SUM(B251:LW251)</f>
        <v>138.9</v>
      </c>
    </row>
    <row r="252" customFormat="false" ht="15" hidden="false" customHeight="false" outlineLevel="0" collapsed="false">
      <c r="A252" s="3" t="s">
        <v>264</v>
      </c>
      <c r="P252" s="4" t="n">
        <v>88.6</v>
      </c>
      <c r="LX252" s="5" t="n">
        <f aca="false">SUM(B252:LW252)</f>
        <v>88.6</v>
      </c>
    </row>
    <row r="253" customFormat="false" ht="15" hidden="false" customHeight="false" outlineLevel="0" collapsed="false">
      <c r="A253" s="3" t="s">
        <v>265</v>
      </c>
      <c r="P253" s="4" t="n">
        <v>132.3</v>
      </c>
      <c r="LX253" s="5" t="n">
        <f aca="false">SUM(B253:LW253)</f>
        <v>132.3</v>
      </c>
    </row>
    <row r="254" customFormat="false" ht="15" hidden="false" customHeight="false" outlineLevel="0" collapsed="false">
      <c r="A254" s="3" t="s">
        <v>266</v>
      </c>
      <c r="P254" s="4" t="n">
        <v>95.9</v>
      </c>
      <c r="LX254" s="5" t="n">
        <f aca="false">SUM(B254:LW254)</f>
        <v>95.9</v>
      </c>
    </row>
    <row r="255" customFormat="false" ht="15" hidden="false" customHeight="false" outlineLevel="0" collapsed="false">
      <c r="A255" s="3" t="s">
        <v>267</v>
      </c>
      <c r="P255" s="4" t="n">
        <v>1044.5</v>
      </c>
      <c r="LX255" s="5" t="n">
        <f aca="false">SUM(B255:LW255)</f>
        <v>1044.5</v>
      </c>
    </row>
    <row r="256" customFormat="false" ht="15" hidden="false" customHeight="false" outlineLevel="0" collapsed="false">
      <c r="A256" s="3" t="s">
        <v>268</v>
      </c>
      <c r="P256" s="4" t="n">
        <v>88.4</v>
      </c>
      <c r="LX256" s="5" t="n">
        <f aca="false">SUM(B256:LW256)</f>
        <v>88.4</v>
      </c>
    </row>
    <row r="257" customFormat="false" ht="15" hidden="false" customHeight="false" outlineLevel="0" collapsed="false">
      <c r="A257" s="3" t="s">
        <v>269</v>
      </c>
      <c r="P257" s="4" t="n">
        <v>2740.6</v>
      </c>
      <c r="LX257" s="5" t="n">
        <f aca="false">SUM(B257:LW257)</f>
        <v>2740.6</v>
      </c>
    </row>
    <row r="258" customFormat="false" ht="15" hidden="false" customHeight="false" outlineLevel="0" collapsed="false">
      <c r="A258" s="3" t="s">
        <v>270</v>
      </c>
      <c r="P258" s="4" t="n">
        <v>7259.8</v>
      </c>
      <c r="LX258" s="5" t="n">
        <f aca="false">SUM(B258:LW258)</f>
        <v>7259.8</v>
      </c>
    </row>
    <row r="259" customFormat="false" ht="15" hidden="false" customHeight="false" outlineLevel="0" collapsed="false">
      <c r="A259" s="3" t="s">
        <v>271</v>
      </c>
      <c r="P259" s="4" t="n">
        <v>11.7</v>
      </c>
      <c r="LX259" s="5" t="n">
        <f aca="false">SUM(B259:LW259)</f>
        <v>11.7</v>
      </c>
    </row>
    <row r="260" customFormat="false" ht="15" hidden="false" customHeight="false" outlineLevel="0" collapsed="false">
      <c r="A260" s="3" t="s">
        <v>272</v>
      </c>
      <c r="P260" s="4" t="n">
        <v>121.9</v>
      </c>
      <c r="LX260" s="5" t="n">
        <f aca="false">SUM(B260:LW260)</f>
        <v>121.9</v>
      </c>
    </row>
    <row r="261" customFormat="false" ht="15" hidden="false" customHeight="false" outlineLevel="0" collapsed="false">
      <c r="A261" s="3" t="s">
        <v>273</v>
      </c>
      <c r="P261" s="4" t="n">
        <v>1786.4</v>
      </c>
      <c r="LX261" s="5" t="n">
        <f aca="false">SUM(B261:LW261)</f>
        <v>1786.4</v>
      </c>
    </row>
    <row r="262" customFormat="false" ht="15" hidden="false" customHeight="false" outlineLevel="0" collapsed="false">
      <c r="A262" s="3" t="s">
        <v>274</v>
      </c>
      <c r="P262" s="4" t="n">
        <v>3258.9</v>
      </c>
      <c r="LX262" s="5" t="n">
        <f aca="false">SUM(B262:LW262)</f>
        <v>3258.9</v>
      </c>
    </row>
    <row r="263" customFormat="false" ht="15" hidden="false" customHeight="false" outlineLevel="0" collapsed="false">
      <c r="A263" s="3" t="s">
        <v>275</v>
      </c>
      <c r="P263" s="4" t="n">
        <v>895</v>
      </c>
      <c r="LX263" s="5" t="n">
        <f aca="false">SUM(B263:LW263)</f>
        <v>895</v>
      </c>
    </row>
    <row r="264" customFormat="false" ht="15" hidden="false" customHeight="false" outlineLevel="0" collapsed="false">
      <c r="A264" s="3" t="s">
        <v>276</v>
      </c>
      <c r="P264" s="4" t="n">
        <v>21090.5</v>
      </c>
      <c r="LX264" s="5" t="n">
        <f aca="false">SUM(B264:LW264)</f>
        <v>21090.5</v>
      </c>
    </row>
    <row r="265" customFormat="false" ht="15" hidden="false" customHeight="false" outlineLevel="0" collapsed="false">
      <c r="A265" s="3" t="s">
        <v>277</v>
      </c>
      <c r="P265" s="4" t="n">
        <v>96990.8</v>
      </c>
      <c r="LX265" s="5" t="n">
        <f aca="false">SUM(B265:LW265)</f>
        <v>96990.8</v>
      </c>
    </row>
    <row r="266" customFormat="false" ht="15" hidden="false" customHeight="false" outlineLevel="0" collapsed="false">
      <c r="A266" s="3" t="s">
        <v>278</v>
      </c>
      <c r="P266" s="4" t="n">
        <v>786.6</v>
      </c>
      <c r="LX266" s="5" t="n">
        <f aca="false">SUM(B266:LW266)</f>
        <v>786.6</v>
      </c>
    </row>
    <row r="267" customFormat="false" ht="15" hidden="false" customHeight="false" outlineLevel="0" collapsed="false">
      <c r="A267" s="3" t="s">
        <v>279</v>
      </c>
      <c r="P267" s="4" t="n">
        <v>10428.4</v>
      </c>
      <c r="LX267" s="5" t="n">
        <f aca="false">SUM(B267:LW267)</f>
        <v>10428.4</v>
      </c>
    </row>
    <row r="268" customFormat="false" ht="15" hidden="false" customHeight="false" outlineLevel="0" collapsed="false">
      <c r="A268" s="3" t="s">
        <v>280</v>
      </c>
      <c r="P268" s="4" t="n">
        <v>139.9</v>
      </c>
      <c r="LX268" s="5" t="n">
        <f aca="false">SUM(B268:LW268)</f>
        <v>139.9</v>
      </c>
    </row>
    <row r="269" customFormat="false" ht="15" hidden="false" customHeight="false" outlineLevel="0" collapsed="false">
      <c r="A269" s="3" t="s">
        <v>281</v>
      </c>
      <c r="P269" s="4" t="n">
        <v>4716.7</v>
      </c>
      <c r="LX269" s="5" t="n">
        <f aca="false">SUM(B269:LW269)</f>
        <v>4716.7</v>
      </c>
    </row>
    <row r="270" customFormat="false" ht="15" hidden="false" customHeight="false" outlineLevel="0" collapsed="false">
      <c r="A270" s="3" t="s">
        <v>282</v>
      </c>
      <c r="P270" s="4" t="n">
        <v>123.4</v>
      </c>
      <c r="LX270" s="5" t="n">
        <f aca="false">SUM(B270:LW270)</f>
        <v>123.4</v>
      </c>
    </row>
    <row r="271" customFormat="false" ht="15" hidden="false" customHeight="false" outlineLevel="0" collapsed="false">
      <c r="A271" s="3" t="s">
        <v>283</v>
      </c>
      <c r="P271" s="4" t="n">
        <v>196749.5</v>
      </c>
      <c r="LX271" s="5" t="n">
        <f aca="false">SUM(B271:LW271)</f>
        <v>196749.5</v>
      </c>
    </row>
    <row r="272" customFormat="false" ht="15" hidden="false" customHeight="false" outlineLevel="0" collapsed="false">
      <c r="A272" s="3" t="s">
        <v>284</v>
      </c>
      <c r="P272" s="4" t="n">
        <v>9381</v>
      </c>
      <c r="LX272" s="5" t="n">
        <f aca="false">SUM(B272:LW272)</f>
        <v>9381</v>
      </c>
    </row>
    <row r="273" customFormat="false" ht="15" hidden="false" customHeight="false" outlineLevel="0" collapsed="false">
      <c r="A273" s="3" t="s">
        <v>285</v>
      </c>
      <c r="P273" s="4" t="n">
        <v>83313.7</v>
      </c>
      <c r="LX273" s="5" t="n">
        <f aca="false">SUM(B273:LW273)</f>
        <v>83313.7</v>
      </c>
    </row>
    <row r="274" customFormat="false" ht="15" hidden="false" customHeight="false" outlineLevel="0" collapsed="false">
      <c r="A274" s="3" t="s">
        <v>286</v>
      </c>
      <c r="P274" s="4" t="n">
        <v>28223.8</v>
      </c>
      <c r="LX274" s="5" t="n">
        <f aca="false">SUM(B274:LW274)</f>
        <v>28223.8</v>
      </c>
    </row>
    <row r="275" customFormat="false" ht="15" hidden="false" customHeight="false" outlineLevel="0" collapsed="false">
      <c r="A275" s="3" t="s">
        <v>287</v>
      </c>
      <c r="P275" s="4" t="n">
        <v>1181.8</v>
      </c>
      <c r="LX275" s="5" t="n">
        <f aca="false">SUM(B275:LW275)</f>
        <v>1181.8</v>
      </c>
    </row>
    <row r="276" customFormat="false" ht="15" hidden="false" customHeight="false" outlineLevel="0" collapsed="false">
      <c r="A276" s="3" t="s">
        <v>288</v>
      </c>
      <c r="P276" s="4" t="n">
        <v>521.4</v>
      </c>
      <c r="LX276" s="5" t="n">
        <f aca="false">SUM(B276:LW276)</f>
        <v>521.4</v>
      </c>
    </row>
    <row r="277" customFormat="false" ht="15" hidden="false" customHeight="false" outlineLevel="0" collapsed="false">
      <c r="A277" s="3" t="s">
        <v>289</v>
      </c>
      <c r="P277" s="4" t="n">
        <v>496.6</v>
      </c>
      <c r="LX277" s="5" t="n">
        <f aca="false">SUM(B277:LW277)</f>
        <v>496.6</v>
      </c>
    </row>
    <row r="278" customFormat="false" ht="15" hidden="false" customHeight="false" outlineLevel="0" collapsed="false">
      <c r="A278" s="3" t="s">
        <v>290</v>
      </c>
      <c r="P278" s="4" t="n">
        <v>269.6</v>
      </c>
      <c r="LX278" s="5" t="n">
        <f aca="false">SUM(B278:LW278)</f>
        <v>269.6</v>
      </c>
    </row>
    <row r="279" customFormat="false" ht="15" hidden="false" customHeight="false" outlineLevel="0" collapsed="false">
      <c r="A279" s="3" t="s">
        <v>291</v>
      </c>
      <c r="P279" s="4" t="n">
        <v>226.7</v>
      </c>
      <c r="LX279" s="5" t="n">
        <f aca="false">SUM(B279:LW279)</f>
        <v>226.7</v>
      </c>
    </row>
    <row r="280" customFormat="false" ht="15" hidden="false" customHeight="false" outlineLevel="0" collapsed="false">
      <c r="A280" s="3" t="s">
        <v>292</v>
      </c>
      <c r="P280" s="4" t="n">
        <v>2.5</v>
      </c>
      <c r="LX280" s="5" t="n">
        <f aca="false">SUM(B280:LW280)</f>
        <v>2.5</v>
      </c>
    </row>
    <row r="281" customFormat="false" ht="15" hidden="false" customHeight="false" outlineLevel="0" collapsed="false">
      <c r="A281" s="3" t="s">
        <v>293</v>
      </c>
      <c r="P281" s="4" t="n">
        <v>40</v>
      </c>
      <c r="LX281" s="5" t="n">
        <f aca="false">SUM(B281:LW281)</f>
        <v>40</v>
      </c>
    </row>
    <row r="282" customFormat="false" ht="15" hidden="false" customHeight="false" outlineLevel="0" collapsed="false">
      <c r="A282" s="3" t="s">
        <v>294</v>
      </c>
      <c r="P282" s="4" t="n">
        <v>24</v>
      </c>
      <c r="LX282" s="5" t="n">
        <f aca="false">SUM(B282:LW282)</f>
        <v>24</v>
      </c>
    </row>
    <row r="283" customFormat="false" ht="15" hidden="false" customHeight="false" outlineLevel="0" collapsed="false">
      <c r="A283" s="3" t="s">
        <v>295</v>
      </c>
      <c r="P283" s="4" t="n">
        <v>34.9</v>
      </c>
      <c r="LX283" s="5" t="n">
        <f aca="false">SUM(B283:LW283)</f>
        <v>34.9</v>
      </c>
    </row>
    <row r="284" customFormat="false" ht="15" hidden="false" customHeight="false" outlineLevel="0" collapsed="false">
      <c r="A284" s="3" t="s">
        <v>296</v>
      </c>
      <c r="P284" s="4" t="n">
        <v>0.5</v>
      </c>
      <c r="LX284" s="5" t="n">
        <f aca="false">SUM(B284:LW284)</f>
        <v>0.5</v>
      </c>
    </row>
    <row r="285" customFormat="false" ht="15" hidden="false" customHeight="false" outlineLevel="0" collapsed="false">
      <c r="A285" s="3" t="s">
        <v>297</v>
      </c>
      <c r="P285" s="4" t="n">
        <v>0.6</v>
      </c>
      <c r="LX285" s="5" t="n">
        <f aca="false">SUM(B285:LW285)</f>
        <v>0.6</v>
      </c>
    </row>
    <row r="286" customFormat="false" ht="15" hidden="false" customHeight="false" outlineLevel="0" collapsed="false">
      <c r="A286" s="3" t="s">
        <v>298</v>
      </c>
      <c r="P286" s="4" t="n">
        <v>1508164.5</v>
      </c>
      <c r="LX286" s="5" t="n">
        <f aca="false">SUM(B286:LW286)</f>
        <v>1508164.5</v>
      </c>
    </row>
    <row r="287" customFormat="false" ht="15" hidden="false" customHeight="false" outlineLevel="0" collapsed="false">
      <c r="A287" s="3" t="s">
        <v>299</v>
      </c>
      <c r="P287" s="4" t="n">
        <v>103496.9</v>
      </c>
      <c r="LX287" s="5" t="n">
        <f aca="false">SUM(B287:LW287)</f>
        <v>103496.9</v>
      </c>
    </row>
    <row r="288" customFormat="false" ht="15" hidden="false" customHeight="false" outlineLevel="0" collapsed="false">
      <c r="A288" s="3" t="s">
        <v>300</v>
      </c>
      <c r="P288" s="4" t="n">
        <v>40.5</v>
      </c>
      <c r="LX288" s="5" t="n">
        <f aca="false">SUM(B288:LW288)</f>
        <v>40.5</v>
      </c>
    </row>
    <row r="289" customFormat="false" ht="15" hidden="false" customHeight="false" outlineLevel="0" collapsed="false">
      <c r="A289" s="3" t="s">
        <v>301</v>
      </c>
      <c r="P289" s="4" t="n">
        <v>72.4</v>
      </c>
      <c r="LX289" s="5" t="n">
        <f aca="false">SUM(B289:LW289)</f>
        <v>72.4</v>
      </c>
    </row>
    <row r="290" customFormat="false" ht="15" hidden="false" customHeight="false" outlineLevel="0" collapsed="false">
      <c r="A290" s="3" t="s">
        <v>302</v>
      </c>
      <c r="P290" s="4" t="n">
        <v>19</v>
      </c>
      <c r="LX290" s="5" t="n">
        <f aca="false">SUM(B290:LW290)</f>
        <v>19</v>
      </c>
    </row>
    <row r="291" customFormat="false" ht="15" hidden="false" customHeight="false" outlineLevel="0" collapsed="false">
      <c r="A291" s="3" t="s">
        <v>303</v>
      </c>
      <c r="P291" s="4" t="n">
        <v>6260.9</v>
      </c>
      <c r="LX291" s="5" t="n">
        <f aca="false">SUM(B291:LW291)</f>
        <v>6260.9</v>
      </c>
    </row>
    <row r="292" customFormat="false" ht="15" hidden="false" customHeight="false" outlineLevel="0" collapsed="false">
      <c r="A292" s="3" t="s">
        <v>304</v>
      </c>
      <c r="P292" s="4" t="n">
        <v>872.7</v>
      </c>
      <c r="LX292" s="5" t="n">
        <f aca="false">SUM(B292:LW292)</f>
        <v>872.7</v>
      </c>
    </row>
    <row r="293" customFormat="false" ht="15" hidden="false" customHeight="false" outlineLevel="0" collapsed="false">
      <c r="A293" s="3" t="s">
        <v>305</v>
      </c>
      <c r="P293" s="4" t="n">
        <v>96.5</v>
      </c>
      <c r="LX293" s="5" t="n">
        <f aca="false">SUM(B293:LW293)</f>
        <v>96.5</v>
      </c>
    </row>
    <row r="294" customFormat="false" ht="15" hidden="false" customHeight="false" outlineLevel="0" collapsed="false">
      <c r="A294" s="3" t="s">
        <v>306</v>
      </c>
      <c r="P294" s="4" t="n">
        <v>10874.8</v>
      </c>
      <c r="LX294" s="5" t="n">
        <f aca="false">SUM(B294:LW294)</f>
        <v>10874.8</v>
      </c>
    </row>
    <row r="295" customFormat="false" ht="15" hidden="false" customHeight="false" outlineLevel="0" collapsed="false">
      <c r="A295" s="3" t="s">
        <v>307</v>
      </c>
      <c r="P295" s="4" t="n">
        <v>0.1</v>
      </c>
      <c r="LX295" s="5" t="n">
        <f aca="false">SUM(B295:LW295)</f>
        <v>0.1</v>
      </c>
    </row>
    <row r="296" customFormat="false" ht="15" hidden="false" customHeight="false" outlineLevel="0" collapsed="false">
      <c r="A296" s="3" t="s">
        <v>308</v>
      </c>
      <c r="P296" s="4" t="n">
        <v>6056</v>
      </c>
      <c r="LX296" s="5" t="n">
        <f aca="false">SUM(B296:LW296)</f>
        <v>6056</v>
      </c>
    </row>
    <row r="297" customFormat="false" ht="15" hidden="false" customHeight="false" outlineLevel="0" collapsed="false">
      <c r="A297" s="3" t="s">
        <v>309</v>
      </c>
      <c r="P297" s="4" t="n">
        <v>100.8</v>
      </c>
      <c r="LX297" s="5" t="n">
        <f aca="false">SUM(B297:LW297)</f>
        <v>100.8</v>
      </c>
    </row>
    <row r="298" customFormat="false" ht="15" hidden="false" customHeight="false" outlineLevel="0" collapsed="false">
      <c r="A298" s="3" t="s">
        <v>310</v>
      </c>
      <c r="P298" s="4" t="n">
        <v>46.3</v>
      </c>
      <c r="LX298" s="5" t="n">
        <f aca="false">SUM(B298:LW298)</f>
        <v>46.3</v>
      </c>
    </row>
    <row r="299" customFormat="false" ht="15" hidden="false" customHeight="false" outlineLevel="0" collapsed="false">
      <c r="A299" s="3" t="s">
        <v>311</v>
      </c>
      <c r="P299" s="4" t="n">
        <v>11.9</v>
      </c>
      <c r="LX299" s="5" t="n">
        <f aca="false">SUM(B299:LW299)</f>
        <v>11.9</v>
      </c>
    </row>
    <row r="300" customFormat="false" ht="15" hidden="false" customHeight="false" outlineLevel="0" collapsed="false">
      <c r="A300" s="3" t="s">
        <v>312</v>
      </c>
      <c r="P300" s="4" t="n">
        <v>71</v>
      </c>
      <c r="LX300" s="5" t="n">
        <f aca="false">SUM(B300:LW300)</f>
        <v>71</v>
      </c>
    </row>
    <row r="301" customFormat="false" ht="15" hidden="false" customHeight="false" outlineLevel="0" collapsed="false">
      <c r="A301" s="3" t="s">
        <v>313</v>
      </c>
      <c r="P301" s="4" t="n">
        <v>243</v>
      </c>
      <c r="LX301" s="5" t="n">
        <f aca="false">SUM(B301:LW301)</f>
        <v>243</v>
      </c>
    </row>
    <row r="302" customFormat="false" ht="15" hidden="false" customHeight="false" outlineLevel="0" collapsed="false">
      <c r="A302" s="3" t="s">
        <v>314</v>
      </c>
      <c r="P302" s="4" t="n">
        <v>36</v>
      </c>
      <c r="LX302" s="5" t="n">
        <f aca="false">SUM(B302:LW302)</f>
        <v>36</v>
      </c>
    </row>
    <row r="303" customFormat="false" ht="15" hidden="false" customHeight="false" outlineLevel="0" collapsed="false">
      <c r="A303" s="3" t="s">
        <v>315</v>
      </c>
      <c r="P303" s="4" t="n">
        <v>51</v>
      </c>
      <c r="LX303" s="5" t="n">
        <f aca="false">SUM(B303:LW303)</f>
        <v>51</v>
      </c>
    </row>
    <row r="304" customFormat="false" ht="15" hidden="false" customHeight="false" outlineLevel="0" collapsed="false">
      <c r="A304" s="3" t="s">
        <v>316</v>
      </c>
      <c r="P304" s="4" t="n">
        <v>361.7</v>
      </c>
      <c r="LX304" s="5" t="n">
        <f aca="false">SUM(B304:LW304)</f>
        <v>361.7</v>
      </c>
    </row>
    <row r="305" customFormat="false" ht="15" hidden="false" customHeight="false" outlineLevel="0" collapsed="false">
      <c r="A305" s="3" t="s">
        <v>317</v>
      </c>
      <c r="P305" s="4" t="n">
        <v>0</v>
      </c>
      <c r="LX305" s="5" t="n">
        <f aca="false">SUM(B305:LW305)</f>
        <v>0</v>
      </c>
    </row>
    <row r="306" customFormat="false" ht="15" hidden="false" customHeight="false" outlineLevel="0" collapsed="false">
      <c r="A306" s="3" t="s">
        <v>318</v>
      </c>
      <c r="P306" s="4" t="n">
        <v>2232.4</v>
      </c>
      <c r="LX306" s="5" t="n">
        <f aca="false">SUM(B306:LW306)</f>
        <v>2232.4</v>
      </c>
    </row>
    <row r="307" customFormat="false" ht="15" hidden="false" customHeight="false" outlineLevel="0" collapsed="false">
      <c r="A307" s="3" t="s">
        <v>319</v>
      </c>
      <c r="P307" s="4" t="n">
        <v>6</v>
      </c>
      <c r="LX307" s="5" t="n">
        <f aca="false">SUM(B307:LW307)</f>
        <v>6</v>
      </c>
    </row>
    <row r="308" customFormat="false" ht="15" hidden="false" customHeight="false" outlineLevel="0" collapsed="false">
      <c r="A308" s="3" t="s">
        <v>320</v>
      </c>
      <c r="P308" s="4" t="n">
        <v>24316.4</v>
      </c>
      <c r="LX308" s="5" t="n">
        <f aca="false">SUM(B308:LW308)</f>
        <v>24316.4</v>
      </c>
    </row>
    <row r="309" customFormat="false" ht="15" hidden="false" customHeight="false" outlineLevel="0" collapsed="false">
      <c r="A309" s="3" t="s">
        <v>321</v>
      </c>
      <c r="P309" s="4" t="n">
        <v>340.7</v>
      </c>
      <c r="LX309" s="5" t="n">
        <f aca="false">SUM(B309:LW309)</f>
        <v>340.7</v>
      </c>
    </row>
    <row r="310" customFormat="false" ht="15" hidden="false" customHeight="false" outlineLevel="0" collapsed="false">
      <c r="A310" s="3" t="s">
        <v>322</v>
      </c>
      <c r="P310" s="4" t="n">
        <v>175.9</v>
      </c>
      <c r="LX310" s="5" t="n">
        <f aca="false">SUM(B310:LW310)</f>
        <v>175.9</v>
      </c>
    </row>
    <row r="311" customFormat="false" ht="15" hidden="false" customHeight="false" outlineLevel="0" collapsed="false">
      <c r="A311" s="3" t="s">
        <v>323</v>
      </c>
      <c r="P311" s="4" t="n">
        <v>133</v>
      </c>
      <c r="LX311" s="5" t="n">
        <f aca="false">SUM(B311:LW311)</f>
        <v>133</v>
      </c>
    </row>
    <row r="312" customFormat="false" ht="15" hidden="false" customHeight="false" outlineLevel="0" collapsed="false">
      <c r="A312" s="3" t="s">
        <v>324</v>
      </c>
      <c r="P312" s="4" t="n">
        <v>141.1</v>
      </c>
      <c r="LX312" s="5" t="n">
        <f aca="false">SUM(B312:LW312)</f>
        <v>141.1</v>
      </c>
    </row>
    <row r="313" customFormat="false" ht="15" hidden="false" customHeight="false" outlineLevel="0" collapsed="false">
      <c r="A313" s="3" t="s">
        <v>325</v>
      </c>
      <c r="P313" s="4" t="n">
        <v>494.1</v>
      </c>
      <c r="LX313" s="5" t="n">
        <f aca="false">SUM(B313:LW313)</f>
        <v>494.1</v>
      </c>
    </row>
    <row r="314" customFormat="false" ht="15" hidden="false" customHeight="false" outlineLevel="0" collapsed="false">
      <c r="A314" s="3" t="s">
        <v>326</v>
      </c>
      <c r="P314" s="4" t="n">
        <v>213.1</v>
      </c>
      <c r="LX314" s="5" t="n">
        <f aca="false">SUM(B314:LW314)</f>
        <v>213.1</v>
      </c>
    </row>
    <row r="315" customFormat="false" ht="15" hidden="false" customHeight="false" outlineLevel="0" collapsed="false">
      <c r="A315" s="3" t="s">
        <v>327</v>
      </c>
      <c r="P315" s="4" t="n">
        <v>289.3</v>
      </c>
      <c r="LX315" s="5" t="n">
        <f aca="false">SUM(B315:LW315)</f>
        <v>289.3</v>
      </c>
    </row>
    <row r="316" customFormat="false" ht="15" hidden="false" customHeight="false" outlineLevel="0" collapsed="false">
      <c r="A316" s="3" t="s">
        <v>328</v>
      </c>
      <c r="P316" s="4" t="n">
        <v>14460.7</v>
      </c>
      <c r="LX316" s="5" t="n">
        <f aca="false">SUM(B316:LW316)</f>
        <v>14460.7</v>
      </c>
    </row>
    <row r="317" customFormat="false" ht="15" hidden="false" customHeight="false" outlineLevel="0" collapsed="false">
      <c r="A317" s="3" t="s">
        <v>329</v>
      </c>
      <c r="P317" s="4" t="n">
        <v>3235.5</v>
      </c>
      <c r="LX317" s="5" t="n">
        <f aca="false">SUM(B317:LW317)</f>
        <v>3235.5</v>
      </c>
    </row>
    <row r="318" customFormat="false" ht="15" hidden="false" customHeight="false" outlineLevel="0" collapsed="false">
      <c r="A318" s="3" t="s">
        <v>330</v>
      </c>
      <c r="P318" s="4" t="n">
        <v>1</v>
      </c>
      <c r="LX318" s="5" t="n">
        <f aca="false">SUM(B318:LW318)</f>
        <v>1</v>
      </c>
    </row>
    <row r="319" customFormat="false" ht="15" hidden="false" customHeight="false" outlineLevel="0" collapsed="false">
      <c r="A319" s="3" t="s">
        <v>331</v>
      </c>
      <c r="P319" s="4" t="n">
        <v>204.1</v>
      </c>
      <c r="LX319" s="5" t="n">
        <f aca="false">SUM(B319:LW319)</f>
        <v>204.1</v>
      </c>
    </row>
    <row r="320" customFormat="false" ht="15" hidden="false" customHeight="false" outlineLevel="0" collapsed="false">
      <c r="A320" s="3" t="s">
        <v>332</v>
      </c>
      <c r="P320" s="4" t="n">
        <v>16025.6</v>
      </c>
      <c r="LX320" s="5" t="n">
        <f aca="false">SUM(B320:LW320)</f>
        <v>16025.6</v>
      </c>
    </row>
    <row r="321" customFormat="false" ht="15" hidden="false" customHeight="false" outlineLevel="0" collapsed="false">
      <c r="A321" s="3" t="s">
        <v>333</v>
      </c>
      <c r="P321" s="4" t="n">
        <v>2211.1</v>
      </c>
      <c r="LX321" s="5" t="n">
        <f aca="false">SUM(B321:LW321)</f>
        <v>2211.1</v>
      </c>
    </row>
    <row r="322" customFormat="false" ht="15" hidden="false" customHeight="false" outlineLevel="0" collapsed="false">
      <c r="A322" s="3" t="s">
        <v>334</v>
      </c>
      <c r="P322" s="4" t="n">
        <v>10225.1</v>
      </c>
      <c r="LX322" s="5" t="n">
        <f aca="false">SUM(B322:LW322)</f>
        <v>10225.1</v>
      </c>
    </row>
    <row r="323" customFormat="false" ht="15" hidden="false" customHeight="false" outlineLevel="0" collapsed="false">
      <c r="A323" s="3" t="s">
        <v>335</v>
      </c>
      <c r="P323" s="4" t="n">
        <v>1727.8</v>
      </c>
      <c r="LX323" s="5" t="n">
        <f aca="false">SUM(B323:LW323)</f>
        <v>1727.8</v>
      </c>
    </row>
    <row r="324" customFormat="false" ht="15" hidden="false" customHeight="false" outlineLevel="0" collapsed="false">
      <c r="A324" s="3" t="s">
        <v>336</v>
      </c>
      <c r="P324" s="4" t="n">
        <v>1283.2</v>
      </c>
      <c r="LX324" s="5" t="n">
        <f aca="false">SUM(B324:LW324)</f>
        <v>1283.2</v>
      </c>
    </row>
    <row r="325" customFormat="false" ht="15" hidden="false" customHeight="false" outlineLevel="0" collapsed="false">
      <c r="A325" s="3" t="s">
        <v>337</v>
      </c>
      <c r="P325" s="4" t="n">
        <v>59503.7</v>
      </c>
      <c r="LX325" s="5" t="n">
        <f aca="false">SUM(B325:LW325)</f>
        <v>59503.7</v>
      </c>
    </row>
    <row r="326" customFormat="false" ht="15" hidden="false" customHeight="false" outlineLevel="0" collapsed="false">
      <c r="A326" s="3" t="s">
        <v>338</v>
      </c>
      <c r="P326" s="4" t="n">
        <v>198.1</v>
      </c>
      <c r="LX326" s="5" t="n">
        <f aca="false">SUM(B326:LW326)</f>
        <v>198.1</v>
      </c>
    </row>
    <row r="327" customFormat="false" ht="15" hidden="false" customHeight="false" outlineLevel="0" collapsed="false">
      <c r="A327" s="3" t="s">
        <v>339</v>
      </c>
      <c r="P327" s="4" t="n">
        <v>784.2</v>
      </c>
      <c r="LX327" s="5" t="n">
        <f aca="false">SUM(B327:LW327)</f>
        <v>784.2</v>
      </c>
    </row>
    <row r="328" customFormat="false" ht="15" hidden="false" customHeight="false" outlineLevel="0" collapsed="false">
      <c r="A328" s="3" t="s">
        <v>340</v>
      </c>
      <c r="P328" s="4" t="n">
        <v>39710</v>
      </c>
      <c r="LX328" s="5" t="n">
        <f aca="false">SUM(B328:LW328)</f>
        <v>39710</v>
      </c>
    </row>
    <row r="329" customFormat="false" ht="15" hidden="false" customHeight="false" outlineLevel="0" collapsed="false">
      <c r="A329" s="3" t="s">
        <v>341</v>
      </c>
      <c r="P329" s="4" t="n">
        <v>25472.9</v>
      </c>
      <c r="LX329" s="5" t="n">
        <f aca="false">SUM(B329:LW329)</f>
        <v>25472.9</v>
      </c>
    </row>
    <row r="330" customFormat="false" ht="15" hidden="false" customHeight="false" outlineLevel="0" collapsed="false">
      <c r="A330" s="3" t="s">
        <v>342</v>
      </c>
      <c r="P330" s="4" t="n">
        <v>55206.5</v>
      </c>
      <c r="LX330" s="5" t="n">
        <f aca="false">SUM(B330:LW330)</f>
        <v>55206.5</v>
      </c>
    </row>
    <row r="331" customFormat="false" ht="15" hidden="false" customHeight="false" outlineLevel="0" collapsed="false">
      <c r="A331" s="3" t="s">
        <v>343</v>
      </c>
      <c r="P331" s="4" t="n">
        <v>8777.4</v>
      </c>
      <c r="LX331" s="5" t="n">
        <f aca="false">SUM(B331:LW331)</f>
        <v>8777.4</v>
      </c>
    </row>
    <row r="332" customFormat="false" ht="15" hidden="false" customHeight="false" outlineLevel="0" collapsed="false">
      <c r="A332" s="3" t="s">
        <v>344</v>
      </c>
      <c r="P332" s="4" t="n">
        <v>296.5</v>
      </c>
      <c r="LX332" s="5" t="n">
        <f aca="false">SUM(B332:LW332)</f>
        <v>296.5</v>
      </c>
    </row>
    <row r="333" customFormat="false" ht="15" hidden="false" customHeight="false" outlineLevel="0" collapsed="false">
      <c r="A333" s="3" t="s">
        <v>345</v>
      </c>
      <c r="P333" s="4" t="n">
        <v>218</v>
      </c>
      <c r="LX333" s="5" t="n">
        <f aca="false">SUM(B333:LW333)</f>
        <v>218</v>
      </c>
    </row>
    <row r="334" customFormat="false" ht="15" hidden="false" customHeight="false" outlineLevel="0" collapsed="false">
      <c r="A334" s="3" t="s">
        <v>346</v>
      </c>
      <c r="F334" s="4" t="n">
        <v>199510.1</v>
      </c>
      <c r="G334" s="4" t="n">
        <v>14579.3</v>
      </c>
      <c r="H334" s="4" t="n">
        <v>348156.4</v>
      </c>
      <c r="I334" s="4" t="n">
        <v>463052.7</v>
      </c>
      <c r="J334" s="4" t="n">
        <v>495383.5</v>
      </c>
      <c r="K334" s="4" t="n">
        <v>251215.2</v>
      </c>
      <c r="L334" s="4" t="n">
        <v>-3532.7</v>
      </c>
      <c r="P334" s="4" t="n">
        <v>-4201449.2</v>
      </c>
      <c r="LX334" s="5" t="n">
        <f aca="false">SUM(B334:LW334)</f>
        <v>-2433084.7</v>
      </c>
    </row>
    <row r="335" customFormat="false" ht="15" hidden="false" customHeight="false" outlineLevel="0" collapsed="false">
      <c r="A335" s="3" t="s">
        <v>347</v>
      </c>
      <c r="LV335" s="4" t="n">
        <v>-4413980.4</v>
      </c>
      <c r="LX335" s="5" t="n">
        <f aca="false">SUM(B335:LW335)</f>
        <v>-4413980.4</v>
      </c>
    </row>
    <row r="336" customFormat="false" ht="15" hidden="false" customHeight="false" outlineLevel="0" collapsed="false">
      <c r="A336" s="3" t="s">
        <v>349</v>
      </c>
      <c r="B336" s="5" t="n">
        <f aca="false">SUM(B2:B335)</f>
        <v>1941088.1</v>
      </c>
      <c r="C336" s="5" t="n">
        <f aca="false">SUM(C2:C335)</f>
        <v>1095486.5</v>
      </c>
      <c r="D336" s="5" t="n">
        <f aca="false">SUM(D2:D335)</f>
        <v>2184115.3</v>
      </c>
      <c r="E336" s="5" t="n">
        <f aca="false">SUM(E2:E335)</f>
        <v>2634657.8</v>
      </c>
      <c r="F336" s="5" t="n">
        <f aca="false">SUM(F2:F335)</f>
        <v>1663411.3</v>
      </c>
      <c r="G336" s="5" t="n">
        <f aca="false">SUM(G2:G335)</f>
        <v>121356.4</v>
      </c>
      <c r="H336" s="5" t="n">
        <f aca="false">SUM(H2:H335)</f>
        <v>3026195</v>
      </c>
      <c r="I336" s="5" t="n">
        <f aca="false">SUM(I2:I335)</f>
        <v>3875781.7</v>
      </c>
      <c r="J336" s="5" t="n">
        <f aca="false">SUM(J2:J335)</f>
        <v>1629470.4</v>
      </c>
      <c r="K336" s="5" t="n">
        <f aca="false">SUM(K2:K335)</f>
        <v>608364.2</v>
      </c>
      <c r="L336" s="5" t="n">
        <f aca="false">SUM(L2:L335)</f>
        <v>2100206.4</v>
      </c>
      <c r="M336" s="5" t="n">
        <f aca="false">SUM(M2:M335)</f>
        <v>759544.8</v>
      </c>
      <c r="N336" s="5" t="n">
        <f aca="false">SUM(N2:N335)</f>
        <v>0</v>
      </c>
      <c r="O336" s="5" t="n">
        <f aca="false">SUM(O2:O335)</f>
        <v>556912.9</v>
      </c>
      <c r="P336" s="5" t="n">
        <f aca="false">SUM(P2:P335)</f>
        <v>-1217866.7</v>
      </c>
      <c r="Q336" s="5" t="n">
        <f aca="false">SUM(Q2:Q335)</f>
        <v>239577.9</v>
      </c>
      <c r="R336" s="5" t="n">
        <f aca="false">SUM(R2:R335)</f>
        <v>2790.5</v>
      </c>
      <c r="S336" s="5" t="n">
        <f aca="false">SUM(S2:S335)</f>
        <v>23391.7</v>
      </c>
      <c r="T336" s="5" t="n">
        <f aca="false">SUM(T2:T335)</f>
        <v>29590.9</v>
      </c>
      <c r="U336" s="5" t="n">
        <f aca="false">SUM(U2:U335)</f>
        <v>228036.5</v>
      </c>
      <c r="V336" s="5" t="n">
        <f aca="false">SUM(V2:V335)</f>
        <v>247647.7</v>
      </c>
      <c r="W336" s="5" t="n">
        <f aca="false">SUM(W2:W335)</f>
        <v>1416.1</v>
      </c>
      <c r="X336" s="5" t="n">
        <f aca="false">SUM(X2:X335)</f>
        <v>4595.7</v>
      </c>
      <c r="Y336" s="5" t="n">
        <f aca="false">SUM(Y2:Y335)</f>
        <v>2426.4</v>
      </c>
      <c r="Z336" s="5" t="n">
        <f aca="false">SUM(Z2:Z335)</f>
        <v>8404.3</v>
      </c>
      <c r="AA336" s="5" t="n">
        <f aca="false">SUM(AA2:AA335)</f>
        <v>119980.2</v>
      </c>
      <c r="AB336" s="5" t="n">
        <f aca="false">SUM(AB2:AB335)</f>
        <v>8519.6</v>
      </c>
      <c r="AC336" s="5" t="n">
        <f aca="false">SUM(AC2:AC335)</f>
        <v>12612.9</v>
      </c>
      <c r="AD336" s="5" t="n">
        <f aca="false">SUM(AD2:AD335)</f>
        <v>31961</v>
      </c>
      <c r="AE336" s="5" t="n">
        <f aca="false">SUM(AE2:AE335)</f>
        <v>40225.6</v>
      </c>
      <c r="AF336" s="5" t="n">
        <f aca="false">SUM(AF2:AF335)</f>
        <v>22618.9</v>
      </c>
      <c r="AG336" s="5" t="n">
        <f aca="false">SUM(AG2:AG335)</f>
        <v>104020.3</v>
      </c>
      <c r="AH336" s="5" t="n">
        <f aca="false">SUM(AH2:AH335)</f>
        <v>27981.9</v>
      </c>
      <c r="AI336" s="5" t="n">
        <f aca="false">SUM(AI2:AI335)</f>
        <v>28440.9</v>
      </c>
      <c r="AJ336" s="5" t="n">
        <f aca="false">SUM(AJ2:AJ335)</f>
        <v>53730.1</v>
      </c>
      <c r="AK336" s="5" t="n">
        <f aca="false">SUM(AK2:AK335)</f>
        <v>5333.2</v>
      </c>
      <c r="AL336" s="5" t="n">
        <f aca="false">SUM(AL2:AL335)</f>
        <v>122439.4</v>
      </c>
      <c r="AM336" s="5" t="n">
        <f aca="false">SUM(AM2:AM335)</f>
        <v>227386.4</v>
      </c>
      <c r="AN336" s="5" t="n">
        <f aca="false">SUM(AN2:AN335)</f>
        <v>71090.3</v>
      </c>
      <c r="AO336" s="5" t="n">
        <f aca="false">SUM(AO2:AO335)</f>
        <v>35058.5</v>
      </c>
      <c r="AP336" s="5" t="n">
        <f aca="false">SUM(AP2:AP335)</f>
        <v>274556.9</v>
      </c>
      <c r="AQ336" s="5" t="n">
        <f aca="false">SUM(AQ2:AQ335)</f>
        <v>214731.1</v>
      </c>
      <c r="AR336" s="5" t="n">
        <f aca="false">SUM(AR2:AR335)</f>
        <v>3424.3</v>
      </c>
      <c r="AS336" s="5" t="n">
        <f aca="false">SUM(AS2:AS335)</f>
        <v>1374.3</v>
      </c>
      <c r="AT336" s="5" t="n">
        <f aca="false">SUM(AT2:AT335)</f>
        <v>511.2</v>
      </c>
      <c r="AU336" s="5" t="n">
        <f aca="false">SUM(AU2:AU335)</f>
        <v>14134.3</v>
      </c>
      <c r="AV336" s="5" t="n">
        <f aca="false">SUM(AV2:AV335)</f>
        <v>940.4</v>
      </c>
      <c r="AW336" s="5" t="n">
        <f aca="false">SUM(AW2:AW335)</f>
        <v>135712.9</v>
      </c>
      <c r="AX336" s="5" t="n">
        <f aca="false">SUM(AX2:AX335)</f>
        <v>76317.5</v>
      </c>
      <c r="AY336" s="5" t="n">
        <f aca="false">SUM(AY2:AY335)</f>
        <v>3562.7</v>
      </c>
      <c r="AZ336" s="5" t="n">
        <f aca="false">SUM(AZ2:AZ335)</f>
        <v>2028.3</v>
      </c>
      <c r="BA336" s="5" t="n">
        <f aca="false">SUM(BA2:BA335)</f>
        <v>721.3</v>
      </c>
      <c r="BB336" s="5" t="n">
        <f aca="false">SUM(BB2:BB335)</f>
        <v>49887.8</v>
      </c>
      <c r="BC336" s="5" t="n">
        <f aca="false">SUM(BC2:BC335)</f>
        <v>115916.9</v>
      </c>
      <c r="BD336" s="5" t="n">
        <f aca="false">SUM(BD2:BD335)</f>
        <v>10040.9</v>
      </c>
      <c r="BE336" s="5" t="n">
        <f aca="false">SUM(BE2:BE335)</f>
        <v>1509736.5</v>
      </c>
      <c r="BF336" s="5" t="n">
        <f aca="false">SUM(BF2:BF335)</f>
        <v>205543.5</v>
      </c>
      <c r="BG336" s="5" t="n">
        <f aca="false">SUM(BG2:BG335)</f>
        <v>401245</v>
      </c>
      <c r="BH336" s="5" t="n">
        <f aca="false">SUM(BH2:BH335)</f>
        <v>2080.6</v>
      </c>
      <c r="BI336" s="5" t="n">
        <f aca="false">SUM(BI2:BI335)</f>
        <v>142149.3</v>
      </c>
      <c r="BJ336" s="5" t="n">
        <f aca="false">SUM(BJ2:BJ335)</f>
        <v>154982.4</v>
      </c>
      <c r="BK336" s="5" t="n">
        <f aca="false">SUM(BK2:BK335)</f>
        <v>140945.5</v>
      </c>
      <c r="BL336" s="5" t="n">
        <f aca="false">SUM(BL2:BL335)</f>
        <v>46470.3</v>
      </c>
      <c r="BM336" s="5" t="n">
        <f aca="false">SUM(BM2:BM335)</f>
        <v>76</v>
      </c>
      <c r="BN336" s="5" t="n">
        <f aca="false">SUM(BN2:BN335)</f>
        <v>10255.2</v>
      </c>
      <c r="BO336" s="5" t="n">
        <f aca="false">SUM(BO2:BO335)</f>
        <v>118672.3</v>
      </c>
      <c r="BP336" s="5" t="n">
        <f aca="false">SUM(BP2:BP335)</f>
        <v>19590</v>
      </c>
      <c r="BQ336" s="5" t="n">
        <f aca="false">SUM(BQ2:BQ335)</f>
        <v>20904.3</v>
      </c>
      <c r="BR336" s="5" t="n">
        <f aca="false">SUM(BR2:BR335)</f>
        <v>314922.6</v>
      </c>
      <c r="BS336" s="5" t="n">
        <f aca="false">SUM(BS2:BS335)</f>
        <v>47227.9</v>
      </c>
      <c r="BT336" s="5" t="n">
        <f aca="false">SUM(BT2:BT335)</f>
        <v>122544.7</v>
      </c>
      <c r="BU336" s="5" t="n">
        <f aca="false">SUM(BU2:BU335)</f>
        <v>8722.2</v>
      </c>
      <c r="BV336" s="5" t="n">
        <f aca="false">SUM(BV2:BV335)</f>
        <v>48497.7</v>
      </c>
      <c r="BW336" s="5" t="n">
        <f aca="false">SUM(BW2:BW335)</f>
        <v>2718.3</v>
      </c>
      <c r="BX336" s="5" t="n">
        <f aca="false">SUM(BX2:BX335)</f>
        <v>25683.6</v>
      </c>
      <c r="BY336" s="5" t="n">
        <f aca="false">SUM(BY2:BY335)</f>
        <v>8795.5</v>
      </c>
      <c r="BZ336" s="5" t="n">
        <f aca="false">SUM(BZ2:BZ335)</f>
        <v>8979</v>
      </c>
      <c r="CA336" s="5" t="n">
        <f aca="false">SUM(CA2:CA335)</f>
        <v>51344</v>
      </c>
      <c r="CB336" s="5" t="n">
        <f aca="false">SUM(CB2:CB335)</f>
        <v>9286.5</v>
      </c>
      <c r="CC336" s="5" t="n">
        <f aca="false">SUM(CC2:CC335)</f>
        <v>228690.6</v>
      </c>
      <c r="CD336" s="5" t="n">
        <f aca="false">SUM(CD2:CD335)</f>
        <v>200910.9</v>
      </c>
      <c r="CE336" s="5" t="n">
        <f aca="false">SUM(CE2:CE335)</f>
        <v>1206.2</v>
      </c>
      <c r="CF336" s="5" t="n">
        <f aca="false">SUM(CF2:CF335)</f>
        <v>61679.4</v>
      </c>
      <c r="CG336" s="5" t="n">
        <f aca="false">SUM(CG2:CG335)</f>
        <v>1772.8</v>
      </c>
      <c r="CH336" s="5" t="n">
        <f aca="false">SUM(CH2:CH335)</f>
        <v>19859.1</v>
      </c>
      <c r="CI336" s="5" t="n">
        <f aca="false">SUM(CI2:CI335)</f>
        <v>194985.6</v>
      </c>
      <c r="CJ336" s="5" t="n">
        <f aca="false">SUM(CJ2:CJ335)</f>
        <v>50708.3</v>
      </c>
      <c r="CK336" s="5" t="n">
        <f aca="false">SUM(CK2:CK335)</f>
        <v>863530.2</v>
      </c>
      <c r="CL336" s="5" t="n">
        <f aca="false">SUM(CL2:CL335)</f>
        <v>1161925.5</v>
      </c>
      <c r="CM336" s="5" t="n">
        <f aca="false">SUM(CM2:CM335)</f>
        <v>97192.1</v>
      </c>
      <c r="CN336" s="5" t="n">
        <f aca="false">SUM(CN2:CN335)</f>
        <v>20945.8</v>
      </c>
      <c r="CO336" s="5" t="n">
        <f aca="false">SUM(CO2:CO335)</f>
        <v>387263.8</v>
      </c>
      <c r="CP336" s="5" t="n">
        <f aca="false">SUM(CP2:CP335)</f>
        <v>301669.1</v>
      </c>
      <c r="CQ336" s="5" t="n">
        <f aca="false">SUM(CQ2:CQ335)</f>
        <v>412232.7</v>
      </c>
      <c r="CR336" s="5" t="n">
        <f aca="false">SUM(CR2:CR335)</f>
        <v>293522.2</v>
      </c>
      <c r="CS336" s="5" t="n">
        <f aca="false">SUM(CS2:CS335)</f>
        <v>494554</v>
      </c>
      <c r="CT336" s="5" t="n">
        <f aca="false">SUM(CT2:CT335)</f>
        <v>238259.4</v>
      </c>
      <c r="CU336" s="5" t="n">
        <f aca="false">SUM(CU2:CU335)</f>
        <v>10537</v>
      </c>
      <c r="CV336" s="5" t="n">
        <f aca="false">SUM(CV2:CV335)</f>
        <v>10086.5</v>
      </c>
      <c r="CW336" s="5" t="n">
        <f aca="false">SUM(CW2:CW335)</f>
        <v>1043188.4</v>
      </c>
      <c r="CX336" s="5" t="n">
        <f aca="false">SUM(CX2:CX335)</f>
        <v>535791</v>
      </c>
      <c r="CY336" s="5" t="n">
        <f aca="false">SUM(CY2:CY335)</f>
        <v>238272.7</v>
      </c>
      <c r="CZ336" s="5" t="n">
        <f aca="false">SUM(CZ2:CZ335)</f>
        <v>462313.8</v>
      </c>
      <c r="DA336" s="5" t="n">
        <f aca="false">SUM(DA2:DA335)</f>
        <v>270730.1</v>
      </c>
      <c r="DB336" s="5" t="n">
        <f aca="false">SUM(DB2:DB335)</f>
        <v>3153.3</v>
      </c>
      <c r="DC336" s="5" t="n">
        <f aca="false">SUM(DC2:DC335)</f>
        <v>27464.8</v>
      </c>
      <c r="DD336" s="5" t="n">
        <f aca="false">SUM(DD2:DD335)</f>
        <v>34743.7</v>
      </c>
      <c r="DE336" s="5" t="n">
        <f aca="false">SUM(DE2:DE335)</f>
        <v>248011.7</v>
      </c>
      <c r="DF336" s="5" t="n">
        <f aca="false">SUM(DF2:DF335)</f>
        <v>270011.8</v>
      </c>
      <c r="DG336" s="5" t="n">
        <f aca="false">SUM(DG2:DG335)</f>
        <v>1606</v>
      </c>
      <c r="DH336" s="5" t="n">
        <f aca="false">SUM(DH2:DH335)</f>
        <v>6039.2</v>
      </c>
      <c r="DI336" s="5" t="n">
        <f aca="false">SUM(DI2:DI335)</f>
        <v>3379.4</v>
      </c>
      <c r="DJ336" s="5" t="n">
        <f aca="false">SUM(DJ2:DJ335)</f>
        <v>6664.1</v>
      </c>
      <c r="DK336" s="5" t="n">
        <f aca="false">SUM(DK2:DK335)</f>
        <v>4105.1</v>
      </c>
      <c r="DL336" s="5" t="n">
        <f aca="false">SUM(DL2:DL335)</f>
        <v>130924.3</v>
      </c>
      <c r="DM336" s="5" t="n">
        <f aca="false">SUM(DM2:DM335)</f>
        <v>9446.3</v>
      </c>
      <c r="DN336" s="5" t="n">
        <f aca="false">SUM(DN2:DN335)</f>
        <v>133</v>
      </c>
      <c r="DO336" s="5" t="n">
        <f aca="false">SUM(DO2:DO335)</f>
        <v>11563.7</v>
      </c>
      <c r="DP336" s="5" t="n">
        <f aca="false">SUM(DP2:DP335)</f>
        <v>29593.7</v>
      </c>
      <c r="DQ336" s="5" t="n">
        <f aca="false">SUM(DQ2:DQ335)</f>
        <v>575.7</v>
      </c>
      <c r="DR336" s="5" t="n">
        <f aca="false">SUM(DR2:DR335)</f>
        <v>1320</v>
      </c>
      <c r="DS336" s="5" t="n">
        <f aca="false">SUM(DS2:DS335)</f>
        <v>10966.5</v>
      </c>
      <c r="DT336" s="5" t="n">
        <f aca="false">SUM(DT2:DT335)</f>
        <v>22300.2</v>
      </c>
      <c r="DU336" s="5" t="n">
        <f aca="false">SUM(DU2:DU335)</f>
        <v>3103</v>
      </c>
      <c r="DV336" s="5" t="n">
        <f aca="false">SUM(DV2:DV335)</f>
        <v>4656.3</v>
      </c>
      <c r="DW336" s="5" t="n">
        <f aca="false">SUM(DW2:DW335)</f>
        <v>21412.9</v>
      </c>
      <c r="DX336" s="5" t="n">
        <f aca="false">SUM(DX2:DX335)</f>
        <v>1787.3</v>
      </c>
      <c r="DY336" s="5" t="n">
        <f aca="false">SUM(DY2:DY335)</f>
        <v>23721.2</v>
      </c>
      <c r="DZ336" s="5" t="n">
        <f aca="false">SUM(DZ2:DZ335)</f>
        <v>41788.2</v>
      </c>
      <c r="EA336" s="5" t="n">
        <f aca="false">SUM(EA2:EA335)</f>
        <v>59706.7</v>
      </c>
      <c r="EB336" s="5" t="n">
        <f aca="false">SUM(EB2:EB335)</f>
        <v>5489.5</v>
      </c>
      <c r="EC336" s="5" t="n">
        <f aca="false">SUM(EC2:EC335)</f>
        <v>123839.7</v>
      </c>
      <c r="ED336" s="5" t="n">
        <f aca="false">SUM(ED2:ED335)</f>
        <v>26259.6</v>
      </c>
      <c r="EE336" s="5" t="n">
        <f aca="false">SUM(EE2:EE335)</f>
        <v>1532.5</v>
      </c>
      <c r="EF336" s="5" t="n">
        <f aca="false">SUM(EF2:EF335)</f>
        <v>5425.8</v>
      </c>
      <c r="EG336" s="5" t="n">
        <f aca="false">SUM(EG2:EG335)</f>
        <v>35060.4</v>
      </c>
      <c r="EH336" s="5" t="n">
        <f aca="false">SUM(EH2:EH335)</f>
        <v>58670</v>
      </c>
      <c r="EI336" s="5" t="n">
        <f aca="false">SUM(EI2:EI335)</f>
        <v>169887.4</v>
      </c>
      <c r="EJ336" s="5" t="n">
        <f aca="false">SUM(EJ2:EJ335)</f>
        <v>74946</v>
      </c>
      <c r="EK336" s="5" t="n">
        <f aca="false">SUM(EK2:EK335)</f>
        <v>65357.5</v>
      </c>
      <c r="EL336" s="5" t="n">
        <f aca="false">SUM(EL2:EL335)</f>
        <v>128417.9</v>
      </c>
      <c r="EM336" s="5" t="n">
        <f aca="false">SUM(EM2:EM335)</f>
        <v>106071.8</v>
      </c>
      <c r="EN336" s="5" t="n">
        <f aca="false">SUM(EN2:EN335)</f>
        <v>967.1</v>
      </c>
      <c r="EO336" s="5" t="n">
        <f aca="false">SUM(EO2:EO335)</f>
        <v>4177.4</v>
      </c>
      <c r="EP336" s="5" t="n">
        <f aca="false">SUM(EP2:EP335)</f>
        <v>1681.4</v>
      </c>
      <c r="EQ336" s="5" t="n">
        <f aca="false">SUM(EQ2:EQ335)</f>
        <v>624.7</v>
      </c>
      <c r="ER336" s="5" t="n">
        <f aca="false">SUM(ER2:ER335)</f>
        <v>0.7</v>
      </c>
      <c r="ES336" s="5" t="n">
        <f aca="false">SUM(ES2:ES335)</f>
        <v>15881.3</v>
      </c>
      <c r="ET336" s="5" t="n">
        <f aca="false">SUM(ET2:ET335)</f>
        <v>9265.4</v>
      </c>
      <c r="EU336" s="5" t="n">
        <f aca="false">SUM(EU2:EU335)</f>
        <v>1151.3</v>
      </c>
      <c r="EV336" s="5" t="n">
        <f aca="false">SUM(EV2:EV335)</f>
        <v>435.8</v>
      </c>
      <c r="EW336" s="5" t="n">
        <f aca="false">SUM(EW2:EW335)</f>
        <v>155948.8</v>
      </c>
      <c r="EX336" s="5" t="n">
        <f aca="false">SUM(EX2:EX335)</f>
        <v>3069.8</v>
      </c>
      <c r="EY336" s="5" t="n">
        <f aca="false">SUM(EY2:EY335)</f>
        <v>492.8</v>
      </c>
      <c r="EZ336" s="5" t="n">
        <f aca="false">SUM(EZ2:EZ335)</f>
        <v>9457.7</v>
      </c>
      <c r="FA336" s="5" t="n">
        <f aca="false">SUM(FA2:FA335)</f>
        <v>130569</v>
      </c>
      <c r="FB336" s="5" t="n">
        <f aca="false">SUM(FB2:FB335)</f>
        <v>2512.5</v>
      </c>
      <c r="FC336" s="5" t="n">
        <f aca="false">SUM(FC2:FC335)</f>
        <v>59882.3</v>
      </c>
      <c r="FD336" s="5" t="n">
        <f aca="false">SUM(FD2:FD335)</f>
        <v>879.5</v>
      </c>
      <c r="FE336" s="5" t="n">
        <f aca="false">SUM(FE2:FE335)</f>
        <v>955.4</v>
      </c>
      <c r="FF336" s="5" t="n">
        <f aca="false">SUM(FF2:FF335)</f>
        <v>-9235.99999999999</v>
      </c>
      <c r="FG336" s="5" t="n">
        <f aca="false">SUM(FG2:FG335)</f>
        <v>161348.4</v>
      </c>
      <c r="FH336" s="5" t="n">
        <f aca="false">SUM(FH2:FH335)</f>
        <v>421337.8</v>
      </c>
      <c r="FI336" s="5" t="n">
        <f aca="false">SUM(FI2:FI335)</f>
        <v>10659.5</v>
      </c>
      <c r="FJ336" s="5" t="n">
        <f aca="false">SUM(FJ2:FJ335)</f>
        <v>6983.5</v>
      </c>
      <c r="FK336" s="5" t="n">
        <f aca="false">SUM(FK2:FK335)</f>
        <v>3309.3</v>
      </c>
      <c r="FL336" s="5" t="n">
        <f aca="false">SUM(FL2:FL335)</f>
        <v>997.8</v>
      </c>
      <c r="FM336" s="5" t="n">
        <f aca="false">SUM(FM2:FM335)</f>
        <v>12880.6</v>
      </c>
      <c r="FN336" s="5" t="n">
        <f aca="false">SUM(FN2:FN335)</f>
        <v>27929.8</v>
      </c>
      <c r="FO336" s="5" t="n">
        <f aca="false">SUM(FO2:FO335)</f>
        <v>8027.3</v>
      </c>
      <c r="FP336" s="5" t="n">
        <f aca="false">SUM(FP2:FP335)</f>
        <v>51494.2</v>
      </c>
      <c r="FQ336" s="5" t="n">
        <f aca="false">SUM(FQ2:FQ335)</f>
        <v>19893.8</v>
      </c>
      <c r="FR336" s="5" t="n">
        <f aca="false">SUM(FR2:FR335)</f>
        <v>20518</v>
      </c>
      <c r="FS336" s="5" t="n">
        <f aca="false">SUM(FS2:FS335)</f>
        <v>6499.6</v>
      </c>
      <c r="FT336" s="5" t="n">
        <f aca="false">SUM(FT2:FT335)</f>
        <v>5326.8</v>
      </c>
      <c r="FU336" s="5" t="n">
        <f aca="false">SUM(FU2:FU335)</f>
        <v>89939.9</v>
      </c>
      <c r="FV336" s="5" t="n">
        <f aca="false">SUM(FV2:FV335)</f>
        <v>54317</v>
      </c>
      <c r="FW336" s="5" t="n">
        <f aca="false">SUM(FW2:FW335)</f>
        <v>53249.9</v>
      </c>
      <c r="FX336" s="5" t="n">
        <f aca="false">SUM(FX2:FX335)</f>
        <v>252.9</v>
      </c>
      <c r="FY336" s="5" t="n">
        <f aca="false">SUM(FY2:FY335)</f>
        <v>664</v>
      </c>
      <c r="FZ336" s="5" t="n">
        <f aca="false">SUM(FZ2:FZ335)</f>
        <v>1810.9</v>
      </c>
      <c r="GA336" s="5" t="n">
        <f aca="false">SUM(GA2:GA335)</f>
        <v>160453.8</v>
      </c>
      <c r="GB336" s="5" t="n">
        <f aca="false">SUM(GB2:GB335)</f>
        <v>7993.9</v>
      </c>
      <c r="GC336" s="5" t="n">
        <f aca="false">SUM(GC2:GC335)</f>
        <v>131087.3</v>
      </c>
      <c r="GD336" s="5" t="n">
        <f aca="false">SUM(GD2:GD335)</f>
        <v>11430.2</v>
      </c>
      <c r="GE336" s="5" t="n">
        <f aca="false">SUM(GE2:GE335)</f>
        <v>43743</v>
      </c>
      <c r="GF336" s="5" t="n">
        <f aca="false">SUM(GF2:GF335)</f>
        <v>6895.8</v>
      </c>
      <c r="GG336" s="5" t="n">
        <f aca="false">SUM(GG2:GG335)</f>
        <v>12747</v>
      </c>
      <c r="GH336" s="5" t="n">
        <f aca="false">SUM(GH2:GH335)</f>
        <v>16331.2</v>
      </c>
      <c r="GI336" s="5" t="n">
        <f aca="false">SUM(GI2:GI335)</f>
        <v>57414.3</v>
      </c>
      <c r="GJ336" s="5" t="n">
        <f aca="false">SUM(GJ2:GJ335)</f>
        <v>12106.4</v>
      </c>
      <c r="GK336" s="5" t="n">
        <f aca="false">SUM(GK2:GK335)</f>
        <v>328823.1</v>
      </c>
      <c r="GL336" s="5" t="n">
        <f aca="false">SUM(GL2:GL335)</f>
        <v>136707.3</v>
      </c>
      <c r="GM336" s="5" t="n">
        <f aca="false">SUM(GM2:GM335)</f>
        <v>4887.7</v>
      </c>
      <c r="GN336" s="5" t="n">
        <f aca="false">SUM(GN2:GN335)</f>
        <v>35511.5</v>
      </c>
      <c r="GO336" s="5" t="n">
        <f aca="false">SUM(GO2:GO335)</f>
        <v>-1366.9</v>
      </c>
      <c r="GP336" s="5" t="n">
        <f aca="false">SUM(GP2:GP335)</f>
        <v>50425.2</v>
      </c>
      <c r="GQ336" s="5" t="n">
        <f aca="false">SUM(GQ2:GQ335)</f>
        <v>23268.5</v>
      </c>
      <c r="GR336" s="5" t="n">
        <f aca="false">SUM(GR2:GR335)</f>
        <v>73072.9</v>
      </c>
      <c r="GS336" s="5" t="n">
        <f aca="false">SUM(GS2:GS335)</f>
        <v>11356.8</v>
      </c>
      <c r="GT336" s="5" t="n">
        <f aca="false">SUM(GT2:GT335)</f>
        <v>114613</v>
      </c>
      <c r="GU336" s="5" t="n">
        <f aca="false">SUM(GU2:GU335)</f>
        <v>14527.2</v>
      </c>
      <c r="GV336" s="5" t="n">
        <f aca="false">SUM(GV2:GV335)</f>
        <v>3951.8</v>
      </c>
      <c r="GW336" s="5" t="n">
        <f aca="false">SUM(GW2:GW335)</f>
        <v>17977.9</v>
      </c>
      <c r="GX336" s="5" t="n">
        <f aca="false">SUM(GX2:GX335)</f>
        <v>846.2</v>
      </c>
      <c r="GY336" s="5" t="n">
        <f aca="false">SUM(GY2:GY335)</f>
        <v>31916.1</v>
      </c>
      <c r="GZ336" s="5" t="n">
        <f aca="false">SUM(GZ2:GZ335)</f>
        <v>25317</v>
      </c>
      <c r="HA336" s="5" t="n">
        <f aca="false">SUM(HA2:HA335)</f>
        <v>15674.7</v>
      </c>
      <c r="HB336" s="5" t="n">
        <f aca="false">SUM(HB2:HB335)</f>
        <v>27725.4</v>
      </c>
      <c r="HC336" s="5" t="n">
        <f aca="false">SUM(HC2:HC335)</f>
        <v>268790.1</v>
      </c>
      <c r="HD336" s="5" t="n">
        <f aca="false">SUM(HD2:HD335)</f>
        <v>49477.1</v>
      </c>
      <c r="HE336" s="5" t="n">
        <f aca="false">SUM(HE2:HE335)</f>
        <v>26051</v>
      </c>
      <c r="HF336" s="5" t="n">
        <f aca="false">SUM(HF2:HF335)</f>
        <v>118925.1</v>
      </c>
      <c r="HG336" s="5" t="n">
        <f aca="false">SUM(HG2:HG335)</f>
        <v>45410.9</v>
      </c>
      <c r="HH336" s="5" t="n">
        <f aca="false">SUM(HH2:HH335)</f>
        <v>265345.9</v>
      </c>
      <c r="HI336" s="5" t="n">
        <f aca="false">SUM(HI2:HI335)</f>
        <v>18499</v>
      </c>
      <c r="HJ336" s="5" t="n">
        <f aca="false">SUM(HJ2:HJ335)</f>
        <v>243732.8</v>
      </c>
      <c r="HK336" s="5" t="n">
        <f aca="false">SUM(HK2:HK335)</f>
        <v>170829.4</v>
      </c>
      <c r="HL336" s="5" t="n">
        <f aca="false">SUM(HL2:HL335)</f>
        <v>6998.4</v>
      </c>
      <c r="HM336" s="5" t="n">
        <f aca="false">SUM(HM2:HM335)</f>
        <v>58081.5</v>
      </c>
      <c r="HN336" s="5" t="n">
        <f aca="false">SUM(HN2:HN335)</f>
        <v>124017.2</v>
      </c>
      <c r="HO336" s="5" t="n">
        <f aca="false">SUM(HO2:HO335)</f>
        <v>16570.9</v>
      </c>
      <c r="HP336" s="5" t="n">
        <f aca="false">SUM(HP2:HP335)</f>
        <v>206999.5</v>
      </c>
      <c r="HQ336" s="5" t="n">
        <f aca="false">SUM(HQ2:HQ335)</f>
        <v>44359</v>
      </c>
      <c r="HR336" s="5" t="n">
        <f aca="false">SUM(HR2:HR335)</f>
        <v>864499.4</v>
      </c>
      <c r="HS336" s="5" t="n">
        <f aca="false">SUM(HS2:HS335)</f>
        <v>17359.5</v>
      </c>
      <c r="HT336" s="5" t="n">
        <f aca="false">SUM(HT2:HT335)</f>
        <v>7598.69999999995</v>
      </c>
      <c r="HU336" s="5" t="n">
        <f aca="false">SUM(HU2:HU335)</f>
        <v>96406.9</v>
      </c>
      <c r="HV336" s="5" t="n">
        <f aca="false">SUM(HV2:HV335)</f>
        <v>21316.7</v>
      </c>
      <c r="HW336" s="5" t="n">
        <f aca="false">SUM(HW2:HW335)</f>
        <v>384777.8</v>
      </c>
      <c r="HX336" s="5" t="n">
        <f aca="false">SUM(HX2:HX335)</f>
        <v>232830.9</v>
      </c>
      <c r="HY336" s="5" t="n">
        <f aca="false">SUM(HY2:HY335)</f>
        <v>444847.1</v>
      </c>
      <c r="HZ336" s="5" t="n">
        <f aca="false">SUM(HZ2:HZ335)</f>
        <v>247418.8</v>
      </c>
      <c r="IA336" s="5" t="n">
        <f aca="false">SUM(IA2:IA335)</f>
        <v>477569</v>
      </c>
      <c r="IB336" s="5" t="n">
        <f aca="false">SUM(IB2:IB335)</f>
        <v>268805.1</v>
      </c>
      <c r="IC336" s="5" t="n">
        <f aca="false">SUM(IC2:IC335)</f>
        <v>10516.3</v>
      </c>
      <c r="ID336" s="5" t="n">
        <f aca="false">SUM(ID2:ID335)</f>
        <v>10086.5</v>
      </c>
      <c r="IE336" s="5" t="n">
        <f aca="false">SUM(IE2:IE335)</f>
        <v>1043188.5</v>
      </c>
      <c r="IF336" s="5" t="n">
        <f aca="false">SUM(IF2:IF335)</f>
        <v>535673.1</v>
      </c>
      <c r="IG336" s="5" t="n">
        <f aca="false">SUM(IG2:IG335)</f>
        <v>238880.3</v>
      </c>
      <c r="IH336" s="5" t="n">
        <f aca="false">SUM(IH2:IH335)</f>
        <v>455482.8</v>
      </c>
      <c r="II336" s="5" t="n">
        <f aca="false">SUM(II2:II335)</f>
        <v>331</v>
      </c>
      <c r="IJ336" s="5" t="n">
        <f aca="false">SUM(IJ2:IJ335)</f>
        <v>2949.2</v>
      </c>
      <c r="IK336" s="5" t="n">
        <f aca="false">SUM(IK2:IK335)</f>
        <v>34.4</v>
      </c>
      <c r="IL336" s="5" t="n">
        <f aca="false">SUM(IL2:IL335)</f>
        <v>313</v>
      </c>
      <c r="IM336" s="5" t="n">
        <f aca="false">SUM(IM2:IM335)</f>
        <v>395.9</v>
      </c>
      <c r="IN336" s="5" t="n">
        <f aca="false">SUM(IN2:IN335)</f>
        <v>1952.3</v>
      </c>
      <c r="IO336" s="5" t="n">
        <f aca="false">SUM(IO2:IO335)</f>
        <v>2186.5</v>
      </c>
      <c r="IP336" s="5" t="n">
        <f aca="false">SUM(IP2:IP335)</f>
        <v>18.6</v>
      </c>
      <c r="IQ336" s="5" t="n">
        <f aca="false">SUM(IQ2:IQ335)</f>
        <v>138.9</v>
      </c>
      <c r="IR336" s="5" t="n">
        <f aca="false">SUM(IR2:IR335)</f>
        <v>88.6</v>
      </c>
      <c r="IS336" s="5" t="n">
        <f aca="false">SUM(IS2:IS335)</f>
        <v>132.3</v>
      </c>
      <c r="IT336" s="5" t="n">
        <f aca="false">SUM(IT2:IT335)</f>
        <v>95.9</v>
      </c>
      <c r="IU336" s="5" t="n">
        <f aca="false">SUM(IU2:IU335)</f>
        <v>1044.5</v>
      </c>
      <c r="IV336" s="5" t="n">
        <f aca="false">SUM(IV2:IV335)</f>
        <v>88.4</v>
      </c>
      <c r="IW336" s="5" t="n">
        <f aca="false">SUM(IW2:IW335)</f>
        <v>2740.6</v>
      </c>
      <c r="IX336" s="5" t="n">
        <f aca="false">SUM(IX2:IX335)</f>
        <v>7259.8</v>
      </c>
      <c r="IY336" s="5" t="n">
        <f aca="false">SUM(IY2:IY335)</f>
        <v>11.7</v>
      </c>
      <c r="IZ336" s="5" t="n">
        <f aca="false">SUM(IZ2:IZ335)</f>
        <v>121.9</v>
      </c>
      <c r="JA336" s="5" t="n">
        <f aca="false">SUM(JA2:JA335)</f>
        <v>1786.4</v>
      </c>
      <c r="JB336" s="5" t="n">
        <f aca="false">SUM(JB2:JB335)</f>
        <v>3258.9</v>
      </c>
      <c r="JC336" s="5" t="n">
        <f aca="false">SUM(JC2:JC335)</f>
        <v>895</v>
      </c>
      <c r="JD336" s="5" t="n">
        <f aca="false">SUM(JD2:JD335)</f>
        <v>21090.5</v>
      </c>
      <c r="JE336" s="5" t="n">
        <f aca="false">SUM(JE2:JE335)</f>
        <v>96990.8</v>
      </c>
      <c r="JF336" s="5" t="n">
        <f aca="false">SUM(JF2:JF335)</f>
        <v>786.6</v>
      </c>
      <c r="JG336" s="5" t="n">
        <f aca="false">SUM(JG2:JG335)</f>
        <v>10428.4</v>
      </c>
      <c r="JH336" s="5" t="n">
        <f aca="false">SUM(JH2:JH335)</f>
        <v>139.9</v>
      </c>
      <c r="JI336" s="5" t="n">
        <f aca="false">SUM(JI2:JI335)</f>
        <v>4716.7</v>
      </c>
      <c r="JJ336" s="5" t="n">
        <f aca="false">SUM(JJ2:JJ335)</f>
        <v>123.4</v>
      </c>
      <c r="JK336" s="5" t="n">
        <f aca="false">SUM(JK2:JK335)</f>
        <v>196749.5</v>
      </c>
      <c r="JL336" s="5" t="n">
        <f aca="false">SUM(JL2:JL335)</f>
        <v>9381</v>
      </c>
      <c r="JM336" s="5" t="n">
        <f aca="false">SUM(JM2:JM335)</f>
        <v>83313.7</v>
      </c>
      <c r="JN336" s="5" t="n">
        <f aca="false">SUM(JN2:JN335)</f>
        <v>28223.8</v>
      </c>
      <c r="JO336" s="5" t="n">
        <f aca="false">SUM(JO2:JO335)</f>
        <v>1181.8</v>
      </c>
      <c r="JP336" s="5" t="n">
        <f aca="false">SUM(JP2:JP335)</f>
        <v>521.4</v>
      </c>
      <c r="JQ336" s="5" t="n">
        <f aca="false">SUM(JQ2:JQ335)</f>
        <v>496.6</v>
      </c>
      <c r="JR336" s="5" t="n">
        <f aca="false">SUM(JR2:JR335)</f>
        <v>269.6</v>
      </c>
      <c r="JS336" s="5" t="n">
        <f aca="false">SUM(JS2:JS335)</f>
        <v>226.7</v>
      </c>
      <c r="JT336" s="5" t="n">
        <f aca="false">SUM(JT2:JT335)</f>
        <v>2.5</v>
      </c>
      <c r="JU336" s="5" t="n">
        <f aca="false">SUM(JU2:JU335)</f>
        <v>40</v>
      </c>
      <c r="JV336" s="5" t="n">
        <f aca="false">SUM(JV2:JV335)</f>
        <v>24</v>
      </c>
      <c r="JW336" s="5" t="n">
        <f aca="false">SUM(JW2:JW335)</f>
        <v>34.9</v>
      </c>
      <c r="JX336" s="5" t="n">
        <f aca="false">SUM(JX2:JX335)</f>
        <v>0.5</v>
      </c>
      <c r="JY336" s="5" t="n">
        <f aca="false">SUM(JY2:JY335)</f>
        <v>0.6</v>
      </c>
      <c r="JZ336" s="5" t="n">
        <f aca="false">SUM(JZ2:JZ335)</f>
        <v>1508164.5</v>
      </c>
      <c r="KA336" s="5" t="n">
        <f aca="false">SUM(KA2:KA335)</f>
        <v>103496.9</v>
      </c>
      <c r="KB336" s="5" t="n">
        <f aca="false">SUM(KB2:KB335)</f>
        <v>40.6</v>
      </c>
      <c r="KC336" s="5" t="n">
        <f aca="false">SUM(KC2:KC335)</f>
        <v>72.5</v>
      </c>
      <c r="KD336" s="5" t="n">
        <f aca="false">SUM(KD2:KD335)</f>
        <v>19.1</v>
      </c>
      <c r="KE336" s="5" t="n">
        <f aca="false">SUM(KE2:KE335)</f>
        <v>6260.9</v>
      </c>
      <c r="KF336" s="5" t="n">
        <f aca="false">SUM(KF2:KF335)</f>
        <v>872.7</v>
      </c>
      <c r="KG336" s="5" t="n">
        <f aca="false">SUM(KG2:KG335)</f>
        <v>96.5</v>
      </c>
      <c r="KH336" s="5" t="n">
        <f aca="false">SUM(KH2:KH335)</f>
        <v>10874.8</v>
      </c>
      <c r="KI336" s="5" t="n">
        <f aca="false">SUM(KI2:KI335)</f>
        <v>0.1</v>
      </c>
      <c r="KJ336" s="5" t="n">
        <f aca="false">SUM(KJ2:KJ335)</f>
        <v>6056</v>
      </c>
      <c r="KK336" s="5" t="n">
        <f aca="false">SUM(KK2:KK335)</f>
        <v>100.8</v>
      </c>
      <c r="KL336" s="5" t="n">
        <f aca="false">SUM(KL2:KL335)</f>
        <v>46.3</v>
      </c>
      <c r="KM336" s="5" t="n">
        <f aca="false">SUM(KM2:KM335)</f>
        <v>11.9</v>
      </c>
      <c r="KN336" s="5" t="n">
        <f aca="false">SUM(KN2:KN335)</f>
        <v>71</v>
      </c>
      <c r="KO336" s="5" t="n">
        <f aca="false">SUM(KO2:KO335)</f>
        <v>243.1</v>
      </c>
      <c r="KP336" s="5" t="n">
        <f aca="false">SUM(KP2:KP335)</f>
        <v>36</v>
      </c>
      <c r="KQ336" s="5" t="n">
        <f aca="false">SUM(KQ2:KQ335)</f>
        <v>50.9</v>
      </c>
      <c r="KR336" s="5" t="n">
        <f aca="false">SUM(KR2:KR335)</f>
        <v>361.7</v>
      </c>
      <c r="KS336" s="5" t="n">
        <f aca="false">SUM(KS2:KS335)</f>
        <v>0</v>
      </c>
      <c r="KT336" s="5" t="n">
        <f aca="false">SUM(KT2:KT335)</f>
        <v>2232.5</v>
      </c>
      <c r="KU336" s="5" t="n">
        <f aca="false">SUM(KU2:KU335)</f>
        <v>6</v>
      </c>
      <c r="KV336" s="5" t="n">
        <f aca="false">SUM(KV2:KV335)</f>
        <v>24316.6</v>
      </c>
      <c r="KW336" s="5" t="n">
        <f aca="false">SUM(KW2:KW335)</f>
        <v>340.6</v>
      </c>
      <c r="KX336" s="5" t="n">
        <f aca="false">SUM(KX2:KX335)</f>
        <v>175.9</v>
      </c>
      <c r="KY336" s="5" t="n">
        <f aca="false">SUM(KY2:KY335)</f>
        <v>133</v>
      </c>
      <c r="KZ336" s="5" t="n">
        <f aca="false">SUM(KZ2:KZ335)</f>
        <v>141.1</v>
      </c>
      <c r="LA336" s="5" t="n">
        <f aca="false">SUM(LA2:LA335)</f>
        <v>494.1</v>
      </c>
      <c r="LB336" s="5" t="n">
        <f aca="false">SUM(LB2:LB335)</f>
        <v>213</v>
      </c>
      <c r="LC336" s="5" t="n">
        <f aca="false">SUM(LC2:LC335)</f>
        <v>289.4</v>
      </c>
      <c r="LD336" s="5" t="n">
        <f aca="false">SUM(LD2:LD335)</f>
        <v>14460.7</v>
      </c>
      <c r="LE336" s="5" t="n">
        <f aca="false">SUM(LE2:LE335)</f>
        <v>3235.5</v>
      </c>
      <c r="LF336" s="5" t="n">
        <f aca="false">SUM(LF2:LF335)</f>
        <v>1</v>
      </c>
      <c r="LG336" s="5" t="n">
        <f aca="false">SUM(LG2:LG335)</f>
        <v>204.1</v>
      </c>
      <c r="LH336" s="5" t="n">
        <f aca="false">SUM(LH2:LH335)</f>
        <v>16025.5</v>
      </c>
      <c r="LI336" s="5" t="n">
        <f aca="false">SUM(LI2:LI335)</f>
        <v>2211.1</v>
      </c>
      <c r="LJ336" s="5" t="n">
        <f aca="false">SUM(LJ2:LJ335)</f>
        <v>10225.2</v>
      </c>
      <c r="LK336" s="5" t="n">
        <f aca="false">SUM(LK2:LK335)</f>
        <v>1727.8</v>
      </c>
      <c r="LL336" s="5" t="n">
        <f aca="false">SUM(LL2:LL335)</f>
        <v>1283.2</v>
      </c>
      <c r="LM336" s="5" t="n">
        <f aca="false">SUM(LM2:LM335)</f>
        <v>59503.7</v>
      </c>
      <c r="LN336" s="5" t="n">
        <f aca="false">SUM(LN2:LN335)</f>
        <v>198.1</v>
      </c>
      <c r="LO336" s="5" t="n">
        <f aca="false">SUM(LO2:LO335)</f>
        <v>784.1</v>
      </c>
      <c r="LP336" s="5" t="n">
        <f aca="false">SUM(LP2:LP335)</f>
        <v>39710.1</v>
      </c>
      <c r="LQ336" s="5" t="n">
        <f aca="false">SUM(LQ2:LQ335)</f>
        <v>25472.9</v>
      </c>
      <c r="LR336" s="5" t="n">
        <f aca="false">SUM(LR2:LR335)</f>
        <v>55206.5</v>
      </c>
      <c r="LS336" s="5" t="n">
        <f aca="false">SUM(LS2:LS335)</f>
        <v>8777.4</v>
      </c>
      <c r="LT336" s="5" t="n">
        <f aca="false">SUM(LT2:LT335)</f>
        <v>296.6</v>
      </c>
      <c r="LU336" s="5" t="n">
        <f aca="false">SUM(LU2:LU335)</f>
        <v>218</v>
      </c>
      <c r="LV336" s="5" t="n">
        <f aca="false">SUM(LV2:LV335)</f>
        <v>-2433084.4</v>
      </c>
      <c r="LW336" s="5" t="n">
        <f aca="false">SUM(LW2:LW335)</f>
        <v>-4413980.7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11" min="2" style="0" width="13"/>
  </cols>
  <sheetData>
    <row r="1" customFormat="false" ht="15" hidden="false" customHeight="false" outlineLevel="0" collapsed="false">
      <c r="A1" s="6" t="s">
        <v>350</v>
      </c>
    </row>
    <row r="2" customFormat="false" ht="15" hidden="false" customHeight="false" outlineLevel="0" collapsed="false">
      <c r="B2" s="3" t="s">
        <v>351</v>
      </c>
      <c r="C2" s="3" t="s">
        <v>352</v>
      </c>
      <c r="D2" s="3" t="s">
        <v>353</v>
      </c>
      <c r="E2" s="3" t="s">
        <v>354</v>
      </c>
      <c r="F2" s="3" t="s">
        <v>355</v>
      </c>
      <c r="G2" s="3" t="s">
        <v>356</v>
      </c>
      <c r="H2" s="3" t="s">
        <v>357</v>
      </c>
      <c r="I2" s="3" t="s">
        <v>358</v>
      </c>
      <c r="J2" s="3" t="s">
        <v>359</v>
      </c>
      <c r="K2" s="3" t="s">
        <v>360</v>
      </c>
    </row>
    <row r="3" customFormat="false" ht="15" hidden="false" customHeight="false" outlineLevel="0" collapsed="false">
      <c r="A3" s="3" t="s">
        <v>351</v>
      </c>
      <c r="C3" s="7" t="n">
        <v>5459580</v>
      </c>
      <c r="F3" s="7" t="n">
        <v>7196168</v>
      </c>
      <c r="H3" s="7" t="n">
        <v>1570475</v>
      </c>
      <c r="I3" s="7" t="n">
        <v>-2433085</v>
      </c>
      <c r="J3" s="7" t="n">
        <v>2385015</v>
      </c>
      <c r="K3" s="5" t="n">
        <f aca="false">SUM(B3:J3)</f>
        <v>14178153</v>
      </c>
    </row>
    <row r="4" customFormat="false" ht="15" hidden="false" customHeight="false" outlineLevel="0" collapsed="false">
      <c r="A4" s="3" t="s">
        <v>352</v>
      </c>
      <c r="B4" s="7" t="n">
        <v>13355610</v>
      </c>
      <c r="K4" s="5" t="n">
        <f aca="false">SUM(B4:J4)</f>
        <v>13355610</v>
      </c>
    </row>
    <row r="5" customFormat="false" ht="15" hidden="false" customHeight="false" outlineLevel="0" collapsed="false">
      <c r="A5" s="3" t="s">
        <v>353</v>
      </c>
      <c r="C5" s="7" t="n">
        <v>3036575</v>
      </c>
      <c r="K5" s="5" t="n">
        <f aca="false">SUM(B5:J5)</f>
        <v>3036575</v>
      </c>
    </row>
    <row r="6" customFormat="false" ht="15" hidden="false" customHeight="false" outlineLevel="0" collapsed="false">
      <c r="A6" s="3" t="s">
        <v>354</v>
      </c>
      <c r="C6" s="7" t="n">
        <v>4818773</v>
      </c>
      <c r="K6" s="5" t="n">
        <f aca="false">SUM(B6:J6)</f>
        <v>4818773</v>
      </c>
    </row>
    <row r="7" customFormat="false" ht="15" hidden="false" customHeight="false" outlineLevel="0" collapsed="false">
      <c r="A7" s="3" t="s">
        <v>355</v>
      </c>
      <c r="D7" s="7" t="n">
        <v>3036575</v>
      </c>
      <c r="E7" s="7" t="n">
        <v>4786094</v>
      </c>
      <c r="F7" s="7" t="n">
        <v>10937</v>
      </c>
      <c r="G7" s="7" t="n">
        <v>196063</v>
      </c>
      <c r="H7" s="7" t="n">
        <v>338544</v>
      </c>
      <c r="J7" s="7" t="n">
        <v>318532</v>
      </c>
      <c r="K7" s="5" t="n">
        <f aca="false">SUM(B7:J7)</f>
        <v>8686745</v>
      </c>
    </row>
    <row r="8" customFormat="false" ht="15" hidden="false" customHeight="false" outlineLevel="0" collapsed="false">
      <c r="A8" s="3" t="s">
        <v>356</v>
      </c>
      <c r="E8" s="7" t="n">
        <v>1472045</v>
      </c>
      <c r="F8" s="7" t="n">
        <v>60838</v>
      </c>
      <c r="G8" s="7" t="n">
        <v>481620</v>
      </c>
      <c r="H8" s="7" t="n">
        <v>140801</v>
      </c>
      <c r="J8" s="7" t="n">
        <v>82531</v>
      </c>
      <c r="K8" s="5" t="n">
        <f aca="false">SUM(B8:J8)</f>
        <v>2237835</v>
      </c>
    </row>
    <row r="9" customFormat="false" ht="15" hidden="false" customHeight="false" outlineLevel="0" collapsed="false">
      <c r="A9" s="3" t="s">
        <v>357</v>
      </c>
      <c r="B9" s="7" t="n">
        <v>556913</v>
      </c>
      <c r="C9" s="7" t="n">
        <v>40682</v>
      </c>
      <c r="E9" s="7" t="n">
        <v>545563</v>
      </c>
      <c r="F9" s="7" t="n">
        <v>301999</v>
      </c>
      <c r="G9" s="7" t="n">
        <v>457546</v>
      </c>
      <c r="H9" s="7" t="n">
        <v>1316458</v>
      </c>
      <c r="J9" s="7" t="n">
        <v>197504</v>
      </c>
      <c r="K9" s="5" t="n">
        <f aca="false">SUM(B9:J9)</f>
        <v>3416665</v>
      </c>
    </row>
    <row r="10" customFormat="false" ht="15" hidden="false" customHeight="false" outlineLevel="0" collapsed="false">
      <c r="A10" s="3" t="s">
        <v>358</v>
      </c>
      <c r="F10" s="7" t="n">
        <v>1025298</v>
      </c>
      <c r="G10" s="7" t="n">
        <v>746599</v>
      </c>
      <c r="H10" s="7" t="n">
        <v>-3533</v>
      </c>
      <c r="I10" s="7" t="n">
        <v>-4413980</v>
      </c>
      <c r="J10" s="7" t="n">
        <v>-4201449</v>
      </c>
      <c r="K10" s="5" t="n">
        <f aca="false">SUM(B10:J10)</f>
        <v>-6847065</v>
      </c>
    </row>
    <row r="11" customFormat="false" ht="15" hidden="false" customHeight="false" outlineLevel="0" collapsed="false">
      <c r="A11" s="3" t="s">
        <v>359</v>
      </c>
      <c r="B11" s="7" t="n">
        <v>265630</v>
      </c>
      <c r="E11" s="7" t="n">
        <v>-1984929</v>
      </c>
      <c r="F11" s="7" t="n">
        <v>91505</v>
      </c>
      <c r="G11" s="7" t="n">
        <v>356008</v>
      </c>
      <c r="H11" s="7" t="n">
        <v>53919</v>
      </c>
      <c r="K11" s="5" t="n">
        <f aca="false">SUM(B11:J11)</f>
        <v>-1217867</v>
      </c>
    </row>
    <row r="13" customFormat="false" ht="15" hidden="false" customHeight="false" outlineLevel="0" collapsed="false">
      <c r="A13" s="3" t="s">
        <v>360</v>
      </c>
      <c r="B13" s="5" t="n">
        <f aca="false">SUM(B3:B11)</f>
        <v>14178153</v>
      </c>
      <c r="C13" s="5" t="n">
        <f aca="false">SUM(C3:C11)</f>
        <v>13355610</v>
      </c>
      <c r="D13" s="5" t="n">
        <f aca="false">SUM(D3:D11)</f>
        <v>3036575</v>
      </c>
      <c r="E13" s="5" t="n">
        <f aca="false">SUM(E3:E11)</f>
        <v>4818773</v>
      </c>
      <c r="F13" s="5" t="n">
        <f aca="false">SUM(F3:F11)</f>
        <v>8686745</v>
      </c>
      <c r="G13" s="5" t="n">
        <f aca="false">SUM(G3:G11)</f>
        <v>2237836</v>
      </c>
      <c r="H13" s="5" t="n">
        <f aca="false">SUM(H3:H11)</f>
        <v>3416664</v>
      </c>
      <c r="I13" s="5" t="n">
        <f aca="false">SUM(I3:I11)</f>
        <v>-6847065</v>
      </c>
      <c r="J13" s="5" t="n">
        <f aca="false">SUM(J3:J11)</f>
        <v>-1217867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8"/>
    <col collapsed="false" customWidth="true" hidden="false" outlineLevel="0" max="3" min="3" style="0" width="16"/>
    <col collapsed="false" customWidth="true" hidden="false" outlineLevel="0" max="8" min="4" style="0" width="14"/>
  </cols>
  <sheetData>
    <row r="1" customFormat="false" ht="15" hidden="false" customHeight="false" outlineLevel="0" collapsed="false">
      <c r="A1" s="5" t="s">
        <v>361</v>
      </c>
    </row>
    <row r="2" customFormat="false" ht="15" hidden="false" customHeight="false" outlineLevel="0" collapsed="false">
      <c r="A2" s="6" t="s">
        <v>362</v>
      </c>
    </row>
    <row r="3" customFormat="false" ht="15" hidden="false" customHeight="false" outlineLevel="0" collapsed="false">
      <c r="A3" s="6" t="s">
        <v>363</v>
      </c>
    </row>
    <row r="4" customFormat="false" ht="15" hidden="false" customHeight="false" outlineLevel="0" collapsed="false">
      <c r="A4" s="6" t="s">
        <v>364</v>
      </c>
    </row>
    <row r="6" customFormat="false" ht="15" hidden="false" customHeight="false" outlineLevel="0" collapsed="false">
      <c r="A6" s="5" t="s">
        <v>365</v>
      </c>
    </row>
    <row r="7" customFormat="false" ht="15" hidden="false" customHeight="false" outlineLevel="0" collapsed="false">
      <c r="A7" s="3" t="s">
        <v>366</v>
      </c>
      <c r="B7" s="3" t="s">
        <v>367</v>
      </c>
    </row>
    <row r="8" customFormat="false" ht="15" hidden="false" customHeight="false" outlineLevel="0" collapsed="false">
      <c r="A8" s="8" t="s">
        <v>14</v>
      </c>
      <c r="B8" s="8" t="s">
        <v>368</v>
      </c>
    </row>
    <row r="9" customFormat="false" ht="15" hidden="false" customHeight="false" outlineLevel="0" collapsed="false">
      <c r="A9" s="8" t="s">
        <v>15</v>
      </c>
      <c r="B9" s="8" t="s">
        <v>369</v>
      </c>
    </row>
    <row r="10" customFormat="false" ht="15" hidden="false" customHeight="false" outlineLevel="0" collapsed="false">
      <c r="A10" s="8" t="s">
        <v>16</v>
      </c>
      <c r="B10" s="8" t="s">
        <v>370</v>
      </c>
    </row>
    <row r="11" customFormat="false" ht="15" hidden="false" customHeight="false" outlineLevel="0" collapsed="false">
      <c r="A11" s="8" t="s">
        <v>17</v>
      </c>
      <c r="B11" s="8" t="s">
        <v>371</v>
      </c>
    </row>
    <row r="12" customFormat="false" ht="15" hidden="false" customHeight="false" outlineLevel="0" collapsed="false">
      <c r="A12" s="8" t="s">
        <v>18</v>
      </c>
      <c r="B12" s="8" t="s">
        <v>372</v>
      </c>
    </row>
    <row r="13" customFormat="false" ht="15" hidden="false" customHeight="false" outlineLevel="0" collapsed="false">
      <c r="A13" s="8" t="s">
        <v>19</v>
      </c>
      <c r="B13" s="8" t="s">
        <v>373</v>
      </c>
    </row>
    <row r="14" customFormat="false" ht="15" hidden="false" customHeight="false" outlineLevel="0" collapsed="false">
      <c r="A14" s="8" t="s">
        <v>20</v>
      </c>
      <c r="B14" s="8" t="s">
        <v>374</v>
      </c>
    </row>
    <row r="15" customFormat="false" ht="15" hidden="false" customHeight="false" outlineLevel="0" collapsed="false">
      <c r="A15" s="8" t="s">
        <v>21</v>
      </c>
      <c r="B15" s="8" t="s">
        <v>375</v>
      </c>
    </row>
    <row r="16" customFormat="false" ht="15" hidden="false" customHeight="false" outlineLevel="0" collapsed="false">
      <c r="A16" s="8" t="s">
        <v>22</v>
      </c>
      <c r="B16" s="8" t="s">
        <v>376</v>
      </c>
    </row>
    <row r="17" customFormat="false" ht="15" hidden="false" customHeight="false" outlineLevel="0" collapsed="false">
      <c r="A17" s="8" t="s">
        <v>23</v>
      </c>
      <c r="B17" s="8" t="s">
        <v>377</v>
      </c>
    </row>
    <row r="18" customFormat="false" ht="15" hidden="false" customHeight="false" outlineLevel="0" collapsed="false">
      <c r="A18" s="8" t="s">
        <v>24</v>
      </c>
      <c r="B18" s="8" t="s">
        <v>378</v>
      </c>
    </row>
    <row r="19" customFormat="false" ht="15" hidden="false" customHeight="false" outlineLevel="0" collapsed="false">
      <c r="A19" s="8" t="s">
        <v>25</v>
      </c>
      <c r="B19" s="8" t="s">
        <v>379</v>
      </c>
    </row>
    <row r="20" customFormat="false" ht="15" hidden="false" customHeight="false" outlineLevel="0" collapsed="false">
      <c r="A20" s="8" t="s">
        <v>27</v>
      </c>
      <c r="B20" s="8" t="s">
        <v>380</v>
      </c>
    </row>
    <row r="21" customFormat="false" ht="15" hidden="false" customHeight="false" outlineLevel="0" collapsed="false">
      <c r="A21" s="8" t="s">
        <v>26</v>
      </c>
      <c r="B21" s="8" t="s">
        <v>381</v>
      </c>
    </row>
    <row r="22" customFormat="false" ht="15" hidden="false" customHeight="false" outlineLevel="0" collapsed="false">
      <c r="A22" s="8" t="s">
        <v>28</v>
      </c>
      <c r="B22" s="8" t="s">
        <v>382</v>
      </c>
    </row>
    <row r="23" customFormat="false" ht="15" hidden="false" customHeight="false" outlineLevel="0" collapsed="false">
      <c r="A23" s="8" t="s">
        <v>346</v>
      </c>
      <c r="B23" s="8" t="s">
        <v>383</v>
      </c>
    </row>
    <row r="24" customFormat="false" ht="15" hidden="false" customHeight="false" outlineLevel="0" collapsed="false">
      <c r="A24" s="8" t="s">
        <v>347</v>
      </c>
      <c r="B24" s="8" t="s">
        <v>384</v>
      </c>
    </row>
    <row r="25" customFormat="false" ht="15" hidden="false" customHeight="false" outlineLevel="0" collapsed="false">
      <c r="A25" s="8" t="s">
        <v>385</v>
      </c>
      <c r="B25" s="8" t="s">
        <v>386</v>
      </c>
    </row>
    <row r="27" customFormat="false" ht="15" hidden="false" customHeight="false" outlineLevel="0" collapsed="false">
      <c r="A27" s="5" t="s">
        <v>387</v>
      </c>
    </row>
    <row r="28" customFormat="false" ht="15" hidden="false" customHeight="false" outlineLevel="0" collapsed="false">
      <c r="A28" s="3" t="s">
        <v>388</v>
      </c>
      <c r="B28" s="3" t="s">
        <v>367</v>
      </c>
      <c r="C28" s="3" t="s">
        <v>389</v>
      </c>
      <c r="D28" s="3" t="s">
        <v>390</v>
      </c>
    </row>
    <row r="29" customFormat="false" ht="15" hidden="false" customHeight="false" outlineLevel="0" collapsed="false">
      <c r="A29" s="8" t="s">
        <v>391</v>
      </c>
      <c r="B29" s="8" t="s">
        <v>392</v>
      </c>
      <c r="C29" s="7" t="n">
        <v>239578</v>
      </c>
      <c r="D29" s="7" t="n">
        <v>191922</v>
      </c>
    </row>
    <row r="30" customFormat="false" ht="15" hidden="false" customHeight="false" outlineLevel="0" collapsed="false">
      <c r="A30" s="8" t="s">
        <v>393</v>
      </c>
      <c r="B30" s="8" t="s">
        <v>394</v>
      </c>
      <c r="C30" s="7" t="n">
        <v>2790</v>
      </c>
      <c r="D30" s="7" t="n">
        <v>2241</v>
      </c>
    </row>
    <row r="31" customFormat="false" ht="15" hidden="false" customHeight="false" outlineLevel="0" collapsed="false">
      <c r="A31" s="8" t="s">
        <v>395</v>
      </c>
      <c r="B31" s="8" t="s">
        <v>396</v>
      </c>
      <c r="C31" s="7" t="n">
        <v>23392</v>
      </c>
      <c r="D31" s="7" t="n">
        <v>21297</v>
      </c>
    </row>
    <row r="32" customFormat="false" ht="15" hidden="false" customHeight="false" outlineLevel="0" collapsed="false">
      <c r="A32" s="8" t="s">
        <v>397</v>
      </c>
      <c r="B32" s="8" t="s">
        <v>398</v>
      </c>
      <c r="C32" s="7" t="n">
        <v>29591</v>
      </c>
      <c r="D32" s="7" t="n">
        <v>26892</v>
      </c>
    </row>
    <row r="33" customFormat="false" ht="15" hidden="false" customHeight="false" outlineLevel="0" collapsed="false">
      <c r="A33" s="8" t="s">
        <v>399</v>
      </c>
      <c r="B33" s="8" t="s">
        <v>400</v>
      </c>
      <c r="C33" s="7" t="n">
        <v>228037</v>
      </c>
      <c r="D33" s="7" t="n">
        <v>216561</v>
      </c>
    </row>
    <row r="34" customFormat="false" ht="15" hidden="false" customHeight="false" outlineLevel="0" collapsed="false">
      <c r="A34" s="8" t="s">
        <v>401</v>
      </c>
      <c r="B34" s="8" t="s">
        <v>402</v>
      </c>
      <c r="C34" s="7" t="n">
        <v>247648</v>
      </c>
      <c r="D34" s="7" t="n">
        <v>231023</v>
      </c>
    </row>
    <row r="35" customFormat="false" ht="15" hidden="false" customHeight="false" outlineLevel="0" collapsed="false">
      <c r="A35" s="8" t="s">
        <v>403</v>
      </c>
      <c r="B35" s="8" t="s">
        <v>404</v>
      </c>
      <c r="C35" s="7" t="n">
        <v>1416</v>
      </c>
      <c r="D35" s="7" t="n">
        <v>1375</v>
      </c>
    </row>
    <row r="36" customFormat="false" ht="15" hidden="false" customHeight="false" outlineLevel="0" collapsed="false">
      <c r="A36" s="8" t="s">
        <v>405</v>
      </c>
      <c r="B36" s="8" t="s">
        <v>406</v>
      </c>
      <c r="C36" s="7" t="n">
        <v>4596</v>
      </c>
      <c r="D36" s="7" t="n">
        <v>2994</v>
      </c>
    </row>
    <row r="37" customFormat="false" ht="15" hidden="false" customHeight="false" outlineLevel="0" collapsed="false">
      <c r="A37" s="8" t="s">
        <v>407</v>
      </c>
      <c r="B37" s="8" t="s">
        <v>408</v>
      </c>
      <c r="C37" s="7" t="n">
        <v>2426</v>
      </c>
      <c r="D37" s="7" t="n">
        <v>1309</v>
      </c>
    </row>
    <row r="38" customFormat="false" ht="15" hidden="false" customHeight="false" outlineLevel="0" collapsed="false">
      <c r="A38" s="8" t="s">
        <v>409</v>
      </c>
      <c r="B38" s="8" t="s">
        <v>410</v>
      </c>
      <c r="C38" s="7" t="n">
        <v>8404</v>
      </c>
      <c r="D38" s="7" t="n">
        <v>7320</v>
      </c>
    </row>
    <row r="39" customFormat="false" ht="15" hidden="false" customHeight="false" outlineLevel="0" collapsed="false">
      <c r="A39" s="8" t="s">
        <v>411</v>
      </c>
      <c r="B39" s="8" t="s">
        <v>412</v>
      </c>
      <c r="C39" s="7" t="n">
        <v>119980</v>
      </c>
      <c r="D39" s="7" t="n">
        <v>110305</v>
      </c>
    </row>
    <row r="40" customFormat="false" ht="15" hidden="false" customHeight="false" outlineLevel="0" collapsed="false">
      <c r="A40" s="8" t="s">
        <v>413</v>
      </c>
      <c r="B40" s="8" t="s">
        <v>414</v>
      </c>
      <c r="C40" s="7" t="n">
        <v>8520</v>
      </c>
      <c r="D40" s="7" t="n">
        <v>6775</v>
      </c>
    </row>
    <row r="41" customFormat="false" ht="15" hidden="false" customHeight="false" outlineLevel="0" collapsed="false">
      <c r="A41" s="8" t="s">
        <v>415</v>
      </c>
      <c r="B41" s="8" t="s">
        <v>416</v>
      </c>
      <c r="C41" s="7" t="n">
        <v>12613</v>
      </c>
      <c r="D41" s="7" t="n">
        <v>7118</v>
      </c>
    </row>
    <row r="42" customFormat="false" ht="15" hidden="false" customHeight="false" outlineLevel="0" collapsed="false">
      <c r="A42" s="8" t="s">
        <v>417</v>
      </c>
      <c r="B42" s="8" t="s">
        <v>418</v>
      </c>
      <c r="C42" s="7" t="n">
        <v>31961</v>
      </c>
      <c r="D42" s="7" t="n">
        <v>29551</v>
      </c>
    </row>
    <row r="43" customFormat="false" ht="15" hidden="false" customHeight="false" outlineLevel="0" collapsed="false">
      <c r="A43" s="8" t="s">
        <v>419</v>
      </c>
      <c r="B43" s="8" t="s">
        <v>420</v>
      </c>
      <c r="C43" s="7" t="n">
        <v>40226</v>
      </c>
      <c r="D43" s="7" t="n">
        <v>37695</v>
      </c>
    </row>
    <row r="44" customFormat="false" ht="15" hidden="false" customHeight="false" outlineLevel="0" collapsed="false">
      <c r="A44" s="8" t="s">
        <v>421</v>
      </c>
      <c r="B44" s="8" t="s">
        <v>422</v>
      </c>
      <c r="C44" s="7" t="n">
        <v>22619</v>
      </c>
      <c r="D44" s="7" t="n">
        <v>21226</v>
      </c>
    </row>
    <row r="45" customFormat="false" ht="15" hidden="false" customHeight="false" outlineLevel="0" collapsed="false">
      <c r="A45" s="8" t="s">
        <v>423</v>
      </c>
      <c r="B45" s="8" t="s">
        <v>424</v>
      </c>
      <c r="C45" s="7" t="n">
        <v>104020</v>
      </c>
      <c r="D45" s="7" t="n">
        <v>97615</v>
      </c>
    </row>
    <row r="46" customFormat="false" ht="15" hidden="false" customHeight="false" outlineLevel="0" collapsed="false">
      <c r="A46" s="8" t="s">
        <v>425</v>
      </c>
      <c r="B46" s="8" t="s">
        <v>426</v>
      </c>
      <c r="C46" s="7" t="n">
        <v>27982</v>
      </c>
      <c r="D46" s="7" t="n">
        <v>24972</v>
      </c>
    </row>
    <row r="47" customFormat="false" ht="15" hidden="false" customHeight="false" outlineLevel="0" collapsed="false">
      <c r="A47" s="8" t="s">
        <v>427</v>
      </c>
      <c r="B47" s="8" t="s">
        <v>428</v>
      </c>
      <c r="C47" s="7" t="n">
        <v>28441</v>
      </c>
      <c r="D47" s="7" t="n">
        <v>24520</v>
      </c>
    </row>
    <row r="48" customFormat="false" ht="15" hidden="false" customHeight="false" outlineLevel="0" collapsed="false">
      <c r="A48" s="8" t="s">
        <v>429</v>
      </c>
      <c r="B48" s="8" t="s">
        <v>430</v>
      </c>
      <c r="C48" s="7" t="n">
        <v>53730</v>
      </c>
      <c r="D48" s="7" t="n">
        <v>43903</v>
      </c>
    </row>
    <row r="49" customFormat="false" ht="15" hidden="false" customHeight="false" outlineLevel="0" collapsed="false">
      <c r="A49" s="8" t="s">
        <v>431</v>
      </c>
      <c r="B49" s="8" t="s">
        <v>432</v>
      </c>
      <c r="C49" s="7" t="n">
        <v>5333</v>
      </c>
      <c r="D49" s="7" t="n">
        <v>3930</v>
      </c>
    </row>
    <row r="50" customFormat="false" ht="15" hidden="false" customHeight="false" outlineLevel="0" collapsed="false">
      <c r="A50" s="8" t="s">
        <v>433</v>
      </c>
      <c r="B50" s="8" t="s">
        <v>434</v>
      </c>
      <c r="C50" s="7" t="n">
        <v>122439</v>
      </c>
      <c r="D50" s="7" t="n">
        <v>93443</v>
      </c>
    </row>
    <row r="51" customFormat="false" ht="15" hidden="false" customHeight="false" outlineLevel="0" collapsed="false">
      <c r="A51" s="8" t="s">
        <v>435</v>
      </c>
      <c r="B51" s="8" t="s">
        <v>436</v>
      </c>
      <c r="C51" s="7" t="n">
        <v>227386</v>
      </c>
      <c r="D51" s="7" t="n">
        <v>77247</v>
      </c>
    </row>
    <row r="52" customFormat="false" ht="15" hidden="false" customHeight="false" outlineLevel="0" collapsed="false">
      <c r="A52" s="8" t="s">
        <v>437</v>
      </c>
      <c r="B52" s="8" t="s">
        <v>438</v>
      </c>
      <c r="C52" s="7" t="n">
        <v>71090</v>
      </c>
      <c r="D52" s="7" t="n">
        <v>61772</v>
      </c>
    </row>
    <row r="53" customFormat="false" ht="15" hidden="false" customHeight="false" outlineLevel="0" collapsed="false">
      <c r="A53" s="8" t="s">
        <v>439</v>
      </c>
      <c r="B53" s="8" t="s">
        <v>440</v>
      </c>
      <c r="C53" s="7" t="n">
        <v>35058</v>
      </c>
      <c r="D53" s="7" t="n">
        <v>26837</v>
      </c>
    </row>
    <row r="54" customFormat="false" ht="15" hidden="false" customHeight="false" outlineLevel="0" collapsed="false">
      <c r="A54" s="8" t="s">
        <v>441</v>
      </c>
      <c r="B54" s="8" t="s">
        <v>442</v>
      </c>
      <c r="C54" s="7" t="n">
        <v>274557</v>
      </c>
      <c r="D54" s="7" t="n">
        <v>105241</v>
      </c>
    </row>
    <row r="55" customFormat="false" ht="15" hidden="false" customHeight="false" outlineLevel="0" collapsed="false">
      <c r="A55" s="8" t="s">
        <v>443</v>
      </c>
      <c r="B55" s="8" t="s">
        <v>444</v>
      </c>
      <c r="C55" s="7" t="n">
        <v>214731</v>
      </c>
      <c r="D55" s="7" t="n">
        <v>67159</v>
      </c>
    </row>
    <row r="56" customFormat="false" ht="15" hidden="false" customHeight="false" outlineLevel="0" collapsed="false">
      <c r="A56" s="8" t="s">
        <v>445</v>
      </c>
      <c r="B56" s="8" t="s">
        <v>446</v>
      </c>
      <c r="C56" s="7" t="n">
        <v>3424</v>
      </c>
      <c r="D56" s="7" t="n">
        <v>1419</v>
      </c>
    </row>
    <row r="57" customFormat="false" ht="15" hidden="false" customHeight="false" outlineLevel="0" collapsed="false">
      <c r="A57" s="8" t="s">
        <v>447</v>
      </c>
      <c r="B57" s="8" t="s">
        <v>448</v>
      </c>
      <c r="C57" s="7" t="n">
        <v>1374</v>
      </c>
      <c r="D57" s="7" t="n">
        <v>570</v>
      </c>
    </row>
    <row r="58" customFormat="false" ht="15" hidden="false" customHeight="false" outlineLevel="0" collapsed="false">
      <c r="A58" s="8" t="s">
        <v>449</v>
      </c>
      <c r="B58" s="8" t="s">
        <v>450</v>
      </c>
      <c r="C58" s="7" t="n">
        <v>511</v>
      </c>
      <c r="D58" s="7" t="n">
        <v>212</v>
      </c>
    </row>
    <row r="59" customFormat="false" ht="15" hidden="false" customHeight="false" outlineLevel="0" collapsed="false">
      <c r="A59" s="8" t="s">
        <v>451</v>
      </c>
      <c r="B59" s="8" t="s">
        <v>452</v>
      </c>
      <c r="C59" s="7" t="n">
        <v>14134</v>
      </c>
      <c r="D59" s="7" t="n">
        <v>5856</v>
      </c>
    </row>
    <row r="60" customFormat="false" ht="15" hidden="false" customHeight="false" outlineLevel="0" collapsed="false">
      <c r="A60" s="8" t="s">
        <v>453</v>
      </c>
      <c r="B60" s="8" t="s">
        <v>454</v>
      </c>
      <c r="C60" s="7" t="n">
        <v>940</v>
      </c>
      <c r="D60" s="7" t="n">
        <v>370</v>
      </c>
    </row>
    <row r="61" customFormat="false" ht="15" hidden="false" customHeight="false" outlineLevel="0" collapsed="false">
      <c r="A61" s="8" t="s">
        <v>455</v>
      </c>
      <c r="B61" s="8" t="s">
        <v>456</v>
      </c>
      <c r="C61" s="7" t="n">
        <v>135713</v>
      </c>
      <c r="D61" s="7" t="n">
        <v>106997</v>
      </c>
    </row>
    <row r="62" customFormat="false" ht="15" hidden="false" customHeight="false" outlineLevel="0" collapsed="false">
      <c r="A62" s="8" t="s">
        <v>457</v>
      </c>
      <c r="B62" s="8" t="s">
        <v>458</v>
      </c>
      <c r="C62" s="7" t="n">
        <v>76318</v>
      </c>
      <c r="D62" s="7" t="n">
        <v>63175</v>
      </c>
    </row>
    <row r="63" customFormat="false" ht="15" hidden="false" customHeight="false" outlineLevel="0" collapsed="false">
      <c r="A63" s="8" t="s">
        <v>459</v>
      </c>
      <c r="B63" s="8" t="s">
        <v>460</v>
      </c>
      <c r="C63" s="7" t="n">
        <v>3563</v>
      </c>
      <c r="D63" s="7" t="n">
        <v>3184</v>
      </c>
    </row>
    <row r="64" customFormat="false" ht="15" hidden="false" customHeight="false" outlineLevel="0" collapsed="false">
      <c r="A64" s="8" t="s">
        <v>461</v>
      </c>
      <c r="B64" s="8" t="s">
        <v>462</v>
      </c>
      <c r="C64" s="7" t="n">
        <v>2028</v>
      </c>
      <c r="D64" s="7" t="n">
        <v>1564</v>
      </c>
    </row>
    <row r="65" customFormat="false" ht="15" hidden="false" customHeight="false" outlineLevel="0" collapsed="false">
      <c r="A65" s="8" t="s">
        <v>463</v>
      </c>
      <c r="B65" s="8" t="s">
        <v>464</v>
      </c>
      <c r="C65" s="7" t="n">
        <v>721</v>
      </c>
      <c r="D65" s="7" t="n">
        <v>515</v>
      </c>
    </row>
    <row r="66" customFormat="false" ht="15" hidden="false" customHeight="false" outlineLevel="0" collapsed="false">
      <c r="A66" s="8" t="s">
        <v>465</v>
      </c>
      <c r="B66" s="8" t="s">
        <v>466</v>
      </c>
      <c r="C66" s="7" t="n">
        <v>49888</v>
      </c>
      <c r="D66" s="7" t="n">
        <v>30301</v>
      </c>
    </row>
    <row r="67" customFormat="false" ht="15" hidden="false" customHeight="false" outlineLevel="0" collapsed="false">
      <c r="A67" s="8" t="s">
        <v>467</v>
      </c>
      <c r="B67" s="8" t="s">
        <v>468</v>
      </c>
      <c r="C67" s="7" t="n">
        <v>115917</v>
      </c>
      <c r="D67" s="7" t="n">
        <v>70098</v>
      </c>
    </row>
    <row r="68" customFormat="false" ht="15" hidden="false" customHeight="false" outlineLevel="0" collapsed="false">
      <c r="A68" s="8" t="s">
        <v>469</v>
      </c>
      <c r="B68" s="8" t="s">
        <v>470</v>
      </c>
      <c r="C68" s="7" t="n">
        <v>10041</v>
      </c>
      <c r="D68" s="7" t="n">
        <v>8732</v>
      </c>
    </row>
    <row r="69" customFormat="false" ht="15" hidden="false" customHeight="false" outlineLevel="0" collapsed="false">
      <c r="A69" s="8" t="s">
        <v>471</v>
      </c>
      <c r="B69" s="8" t="s">
        <v>472</v>
      </c>
      <c r="C69" s="7" t="n">
        <v>1509737</v>
      </c>
      <c r="D69" s="7" t="n">
        <v>824482</v>
      </c>
    </row>
    <row r="70" customFormat="false" ht="15" hidden="false" customHeight="false" outlineLevel="0" collapsed="false">
      <c r="A70" s="8" t="s">
        <v>473</v>
      </c>
      <c r="B70" s="8" t="s">
        <v>474</v>
      </c>
      <c r="C70" s="7" t="n">
        <v>205544</v>
      </c>
      <c r="D70" s="7" t="n">
        <v>134801</v>
      </c>
    </row>
    <row r="71" customFormat="false" ht="15" hidden="false" customHeight="false" outlineLevel="0" collapsed="false">
      <c r="A71" s="8" t="s">
        <v>475</v>
      </c>
      <c r="B71" s="8" t="s">
        <v>476</v>
      </c>
      <c r="C71" s="7" t="n">
        <v>401245</v>
      </c>
      <c r="D71" s="7" t="n">
        <v>127838</v>
      </c>
    </row>
    <row r="72" customFormat="false" ht="15" hidden="false" customHeight="false" outlineLevel="0" collapsed="false">
      <c r="A72" s="8" t="s">
        <v>477</v>
      </c>
      <c r="B72" s="8" t="s">
        <v>478</v>
      </c>
      <c r="C72" s="7" t="n">
        <v>2081</v>
      </c>
      <c r="D72" s="7" t="n">
        <v>471</v>
      </c>
    </row>
    <row r="73" customFormat="false" ht="15" hidden="false" customHeight="false" outlineLevel="0" collapsed="false">
      <c r="A73" s="8" t="s">
        <v>479</v>
      </c>
      <c r="B73" s="8" t="s">
        <v>480</v>
      </c>
      <c r="C73" s="7" t="n">
        <v>142149</v>
      </c>
      <c r="D73" s="7" t="n">
        <v>41944</v>
      </c>
    </row>
    <row r="74" customFormat="false" ht="15" hidden="false" customHeight="false" outlineLevel="0" collapsed="false">
      <c r="A74" s="8" t="s">
        <v>481</v>
      </c>
      <c r="B74" s="8" t="s">
        <v>482</v>
      </c>
      <c r="C74" s="7" t="n">
        <v>154983</v>
      </c>
      <c r="D74" s="7" t="n">
        <v>61696</v>
      </c>
    </row>
    <row r="75" customFormat="false" ht="15" hidden="false" customHeight="false" outlineLevel="0" collapsed="false">
      <c r="A75" s="8" t="s">
        <v>483</v>
      </c>
      <c r="B75" s="8" t="s">
        <v>484</v>
      </c>
      <c r="C75" s="7" t="n">
        <v>140945</v>
      </c>
      <c r="D75" s="7" t="n">
        <v>127828</v>
      </c>
    </row>
    <row r="76" customFormat="false" ht="15" hidden="false" customHeight="false" outlineLevel="0" collapsed="false">
      <c r="A76" s="8" t="s">
        <v>485</v>
      </c>
      <c r="B76" s="8" t="s">
        <v>486</v>
      </c>
      <c r="C76" s="7" t="n">
        <v>46470</v>
      </c>
      <c r="D76" s="7" t="n">
        <v>38463</v>
      </c>
    </row>
    <row r="77" customFormat="false" ht="15" hidden="false" customHeight="false" outlineLevel="0" collapsed="false">
      <c r="A77" s="8" t="s">
        <v>487</v>
      </c>
      <c r="B77" s="8" t="s">
        <v>488</v>
      </c>
      <c r="C77" s="7" t="n">
        <v>76</v>
      </c>
      <c r="D77" s="7" t="n">
        <v>40</v>
      </c>
    </row>
    <row r="78" customFormat="false" ht="15" hidden="false" customHeight="false" outlineLevel="0" collapsed="false">
      <c r="A78" s="8" t="s">
        <v>489</v>
      </c>
      <c r="B78" s="8" t="s">
        <v>490</v>
      </c>
      <c r="C78" s="7" t="n">
        <v>10255</v>
      </c>
      <c r="D78" s="7" t="n">
        <v>6405</v>
      </c>
    </row>
    <row r="79" customFormat="false" ht="15" hidden="false" customHeight="false" outlineLevel="0" collapsed="false">
      <c r="A79" s="8" t="s">
        <v>491</v>
      </c>
      <c r="B79" s="8" t="s">
        <v>492</v>
      </c>
      <c r="C79" s="7" t="n">
        <v>118673</v>
      </c>
      <c r="D79" s="7" t="n">
        <v>34689</v>
      </c>
    </row>
    <row r="80" customFormat="false" ht="15" hidden="false" customHeight="false" outlineLevel="0" collapsed="false">
      <c r="A80" s="8" t="s">
        <v>493</v>
      </c>
      <c r="B80" s="8" t="s">
        <v>494</v>
      </c>
      <c r="C80" s="7" t="n">
        <v>19590</v>
      </c>
      <c r="D80" s="7" t="n">
        <v>8381</v>
      </c>
    </row>
    <row r="81" customFormat="false" ht="15" hidden="false" customHeight="false" outlineLevel="0" collapsed="false">
      <c r="A81" s="8" t="s">
        <v>495</v>
      </c>
      <c r="B81" s="8" t="s">
        <v>496</v>
      </c>
      <c r="C81" s="7" t="n">
        <v>20905</v>
      </c>
      <c r="D81" s="7" t="n">
        <v>6948</v>
      </c>
    </row>
    <row r="82" customFormat="false" ht="15" hidden="false" customHeight="false" outlineLevel="0" collapsed="false">
      <c r="A82" s="8" t="s">
        <v>497</v>
      </c>
      <c r="B82" s="8" t="s">
        <v>498</v>
      </c>
      <c r="C82" s="7" t="n">
        <v>314923</v>
      </c>
      <c r="D82" s="7" t="n">
        <v>118913</v>
      </c>
    </row>
    <row r="83" customFormat="false" ht="15" hidden="false" customHeight="false" outlineLevel="0" collapsed="false">
      <c r="A83" s="8" t="s">
        <v>499</v>
      </c>
      <c r="B83" s="8" t="s">
        <v>500</v>
      </c>
      <c r="C83" s="7" t="n">
        <v>47228</v>
      </c>
      <c r="D83" s="7" t="n">
        <v>3354</v>
      </c>
    </row>
    <row r="84" customFormat="false" ht="15" hidden="false" customHeight="false" outlineLevel="0" collapsed="false">
      <c r="A84" s="8" t="s">
        <v>501</v>
      </c>
      <c r="B84" s="8" t="s">
        <v>502</v>
      </c>
      <c r="C84" s="7" t="n">
        <v>122545</v>
      </c>
      <c r="D84" s="7" t="n">
        <v>99591</v>
      </c>
    </row>
    <row r="85" customFormat="false" ht="15" hidden="false" customHeight="false" outlineLevel="0" collapsed="false">
      <c r="A85" s="8" t="s">
        <v>503</v>
      </c>
      <c r="B85" s="8" t="s">
        <v>504</v>
      </c>
      <c r="C85" s="7" t="n">
        <v>8722</v>
      </c>
      <c r="D85" s="7" t="n">
        <v>4690</v>
      </c>
    </row>
    <row r="86" customFormat="false" ht="15" hidden="false" customHeight="false" outlineLevel="0" collapsed="false">
      <c r="A86" s="8" t="s">
        <v>505</v>
      </c>
      <c r="B86" s="8" t="s">
        <v>506</v>
      </c>
      <c r="C86" s="7" t="n">
        <v>48498</v>
      </c>
      <c r="D86" s="7" t="n">
        <v>24144</v>
      </c>
    </row>
    <row r="87" customFormat="false" ht="15" hidden="false" customHeight="false" outlineLevel="0" collapsed="false">
      <c r="A87" s="8" t="s">
        <v>507</v>
      </c>
      <c r="B87" s="8" t="s">
        <v>508</v>
      </c>
      <c r="C87" s="7" t="n">
        <v>2718</v>
      </c>
      <c r="D87" s="7" t="n">
        <v>319</v>
      </c>
    </row>
    <row r="88" customFormat="false" ht="15" hidden="false" customHeight="false" outlineLevel="0" collapsed="false">
      <c r="A88" s="8" t="s">
        <v>509</v>
      </c>
      <c r="B88" s="8" t="s">
        <v>510</v>
      </c>
      <c r="C88" s="7" t="n">
        <v>25683</v>
      </c>
      <c r="D88" s="7" t="n">
        <v>11517</v>
      </c>
    </row>
    <row r="89" customFormat="false" ht="15" hidden="false" customHeight="false" outlineLevel="0" collapsed="false">
      <c r="A89" s="8" t="s">
        <v>511</v>
      </c>
      <c r="B89" s="8" t="s">
        <v>512</v>
      </c>
      <c r="C89" s="7" t="n">
        <v>8796</v>
      </c>
      <c r="D89" s="7" t="n">
        <v>4255</v>
      </c>
    </row>
    <row r="90" customFormat="false" ht="15" hidden="false" customHeight="false" outlineLevel="0" collapsed="false">
      <c r="A90" s="8" t="s">
        <v>513</v>
      </c>
      <c r="B90" s="8" t="s">
        <v>514</v>
      </c>
      <c r="C90" s="7" t="n">
        <v>8979</v>
      </c>
      <c r="D90" s="7" t="n">
        <v>2853</v>
      </c>
    </row>
    <row r="91" customFormat="false" ht="15" hidden="false" customHeight="false" outlineLevel="0" collapsed="false">
      <c r="A91" s="8" t="s">
        <v>515</v>
      </c>
      <c r="B91" s="8" t="s">
        <v>516</v>
      </c>
      <c r="C91" s="7" t="n">
        <v>51344</v>
      </c>
      <c r="D91" s="7" t="n">
        <v>31185</v>
      </c>
    </row>
    <row r="92" customFormat="false" ht="15" hidden="false" customHeight="false" outlineLevel="0" collapsed="false">
      <c r="A92" s="8" t="s">
        <v>517</v>
      </c>
      <c r="B92" s="8" t="s">
        <v>518</v>
      </c>
      <c r="C92" s="7" t="n">
        <v>9287</v>
      </c>
      <c r="D92" s="7" t="n">
        <v>321</v>
      </c>
    </row>
    <row r="93" customFormat="false" ht="15" hidden="false" customHeight="false" outlineLevel="0" collapsed="false">
      <c r="A93" s="8" t="s">
        <v>519</v>
      </c>
      <c r="B93" s="8" t="s">
        <v>520</v>
      </c>
      <c r="C93" s="7" t="n">
        <v>228691</v>
      </c>
      <c r="D93" s="7" t="n">
        <v>48663</v>
      </c>
    </row>
    <row r="94" customFormat="false" ht="15" hidden="false" customHeight="false" outlineLevel="0" collapsed="false">
      <c r="A94" s="8" t="s">
        <v>521</v>
      </c>
      <c r="B94" s="8" t="s">
        <v>522</v>
      </c>
      <c r="C94" s="7" t="n">
        <v>200911</v>
      </c>
      <c r="D94" s="7" t="n">
        <v>48411</v>
      </c>
    </row>
    <row r="95" customFormat="false" ht="15" hidden="false" customHeight="false" outlineLevel="0" collapsed="false">
      <c r="A95" s="8" t="s">
        <v>523</v>
      </c>
      <c r="B95" s="8" t="s">
        <v>524</v>
      </c>
      <c r="C95" s="7" t="n">
        <v>1206</v>
      </c>
      <c r="D95" s="7" t="n">
        <v>80</v>
      </c>
    </row>
    <row r="96" customFormat="false" ht="15" hidden="false" customHeight="false" outlineLevel="0" collapsed="false">
      <c r="A96" s="8" t="s">
        <v>525</v>
      </c>
      <c r="B96" s="8" t="s">
        <v>526</v>
      </c>
      <c r="C96" s="7" t="n">
        <v>61679</v>
      </c>
      <c r="D96" s="7" t="n">
        <v>25257</v>
      </c>
    </row>
    <row r="97" customFormat="false" ht="15" hidden="false" customHeight="false" outlineLevel="0" collapsed="false">
      <c r="A97" s="8" t="s">
        <v>527</v>
      </c>
      <c r="B97" s="8" t="s">
        <v>528</v>
      </c>
      <c r="C97" s="7" t="n">
        <v>1773</v>
      </c>
      <c r="D97" s="7" t="n">
        <v>418</v>
      </c>
    </row>
    <row r="98" customFormat="false" ht="15" hidden="false" customHeight="false" outlineLevel="0" collapsed="false">
      <c r="A98" s="8" t="s">
        <v>529</v>
      </c>
      <c r="B98" s="8" t="s">
        <v>530</v>
      </c>
      <c r="C98" s="7" t="n">
        <v>19859</v>
      </c>
      <c r="D98" s="7" t="n">
        <v>3728</v>
      </c>
    </row>
    <row r="99" customFormat="false" ht="15" hidden="false" customHeight="false" outlineLevel="0" collapsed="false">
      <c r="A99" s="8" t="s">
        <v>531</v>
      </c>
      <c r="B99" s="8" t="s">
        <v>532</v>
      </c>
      <c r="C99" s="7" t="n">
        <v>194985</v>
      </c>
      <c r="D99" s="7" t="n">
        <v>75185</v>
      </c>
    </row>
    <row r="100" customFormat="false" ht="15" hidden="false" customHeight="false" outlineLevel="0" collapsed="false">
      <c r="A100" s="8" t="s">
        <v>533</v>
      </c>
      <c r="B100" s="8" t="s">
        <v>534</v>
      </c>
      <c r="C100" s="7" t="n">
        <v>50708</v>
      </c>
      <c r="D100" s="7" t="n">
        <v>17905</v>
      </c>
    </row>
    <row r="101" customFormat="false" ht="15" hidden="false" customHeight="false" outlineLevel="0" collapsed="false">
      <c r="A101" s="8" t="s">
        <v>535</v>
      </c>
      <c r="B101" s="8" t="s">
        <v>536</v>
      </c>
      <c r="C101" s="7" t="n">
        <v>863530</v>
      </c>
      <c r="D101" s="7" t="n">
        <v>297368</v>
      </c>
    </row>
    <row r="102" customFormat="false" ht="15" hidden="false" customHeight="false" outlineLevel="0" collapsed="false">
      <c r="A102" s="8" t="s">
        <v>537</v>
      </c>
      <c r="B102" s="8" t="s">
        <v>538</v>
      </c>
      <c r="C102" s="7" t="n">
        <v>1161925</v>
      </c>
      <c r="D102" s="7" t="n">
        <v>719399</v>
      </c>
    </row>
    <row r="103" customFormat="false" ht="15" hidden="false" customHeight="false" outlineLevel="0" collapsed="false">
      <c r="A103" s="8" t="s">
        <v>539</v>
      </c>
      <c r="B103" s="8" t="s">
        <v>540</v>
      </c>
      <c r="C103" s="7" t="n">
        <v>97192</v>
      </c>
      <c r="D103" s="7" t="n">
        <v>56748</v>
      </c>
    </row>
    <row r="104" customFormat="false" ht="15" hidden="false" customHeight="false" outlineLevel="0" collapsed="false">
      <c r="A104" s="8" t="s">
        <v>541</v>
      </c>
      <c r="B104" s="8" t="s">
        <v>542</v>
      </c>
      <c r="C104" s="7" t="n">
        <v>20945</v>
      </c>
      <c r="D104" s="7" t="n">
        <v>11592</v>
      </c>
    </row>
    <row r="105" customFormat="false" ht="15" hidden="false" customHeight="false" outlineLevel="0" collapsed="false">
      <c r="A105" s="8" t="s">
        <v>543</v>
      </c>
      <c r="B105" s="8" t="s">
        <v>544</v>
      </c>
      <c r="C105" s="7" t="n">
        <v>387264</v>
      </c>
      <c r="D105" s="7" t="n">
        <v>179589</v>
      </c>
    </row>
    <row r="106" customFormat="false" ht="15" hidden="false" customHeight="false" outlineLevel="0" collapsed="false">
      <c r="A106" s="8" t="s">
        <v>545</v>
      </c>
      <c r="B106" s="8" t="s">
        <v>546</v>
      </c>
      <c r="C106" s="7" t="n">
        <v>301669</v>
      </c>
      <c r="D106" s="7" t="n">
        <v>109842</v>
      </c>
    </row>
    <row r="107" customFormat="false" ht="15" hidden="false" customHeight="false" outlineLevel="0" collapsed="false">
      <c r="A107" s="8" t="s">
        <v>547</v>
      </c>
      <c r="B107" s="8" t="s">
        <v>548</v>
      </c>
      <c r="C107" s="7" t="n">
        <v>412233</v>
      </c>
      <c r="D107" s="7" t="n">
        <v>225872</v>
      </c>
    </row>
    <row r="108" customFormat="false" ht="15" hidden="false" customHeight="false" outlineLevel="0" collapsed="false">
      <c r="A108" s="8" t="s">
        <v>549</v>
      </c>
      <c r="B108" s="8" t="s">
        <v>550</v>
      </c>
      <c r="C108" s="7" t="n">
        <v>293522</v>
      </c>
      <c r="D108" s="7" t="n">
        <v>151916</v>
      </c>
    </row>
    <row r="109" customFormat="false" ht="15" hidden="false" customHeight="false" outlineLevel="0" collapsed="false">
      <c r="A109" s="8" t="s">
        <v>551</v>
      </c>
      <c r="B109" s="8" t="s">
        <v>552</v>
      </c>
      <c r="C109" s="7" t="n">
        <v>494554</v>
      </c>
      <c r="D109" s="7" t="n">
        <v>479480</v>
      </c>
    </row>
    <row r="110" customFormat="false" ht="15" hidden="false" customHeight="false" outlineLevel="0" collapsed="false">
      <c r="A110" s="8" t="s">
        <v>553</v>
      </c>
      <c r="B110" s="8" t="s">
        <v>554</v>
      </c>
      <c r="C110" s="7" t="n">
        <v>238260</v>
      </c>
      <c r="D110" s="7" t="n">
        <v>102606</v>
      </c>
    </row>
    <row r="111" customFormat="false" ht="15" hidden="false" customHeight="false" outlineLevel="0" collapsed="false">
      <c r="A111" s="8" t="s">
        <v>555</v>
      </c>
      <c r="B111" s="8" t="s">
        <v>556</v>
      </c>
      <c r="C111" s="7" t="n">
        <v>10537</v>
      </c>
      <c r="D111" s="7" t="n">
        <v>4771</v>
      </c>
    </row>
    <row r="112" customFormat="false" ht="15" hidden="false" customHeight="false" outlineLevel="0" collapsed="false">
      <c r="A112" s="8" t="s">
        <v>557</v>
      </c>
      <c r="B112" s="8" t="s">
        <v>558</v>
      </c>
      <c r="C112" s="7" t="n">
        <v>10087</v>
      </c>
      <c r="D112" s="7" t="n">
        <v>4255</v>
      </c>
    </row>
    <row r="113" customFormat="false" ht="15" hidden="false" customHeight="false" outlineLevel="0" collapsed="false">
      <c r="A113" s="8" t="s">
        <v>559</v>
      </c>
      <c r="B113" s="8" t="s">
        <v>560</v>
      </c>
      <c r="C113" s="7" t="n">
        <v>1043188</v>
      </c>
      <c r="D113" s="7" t="n">
        <v>840235</v>
      </c>
    </row>
    <row r="114" customFormat="false" ht="15" hidden="false" customHeight="false" outlineLevel="0" collapsed="false">
      <c r="A114" s="8" t="s">
        <v>561</v>
      </c>
      <c r="B114" s="8" t="s">
        <v>562</v>
      </c>
      <c r="C114" s="7" t="n">
        <v>535791</v>
      </c>
      <c r="D114" s="7" t="n">
        <v>399371</v>
      </c>
    </row>
    <row r="115" customFormat="false" ht="15" hidden="false" customHeight="false" outlineLevel="0" collapsed="false">
      <c r="A115" s="8" t="s">
        <v>563</v>
      </c>
      <c r="B115" s="8" t="s">
        <v>564</v>
      </c>
      <c r="C115" s="7" t="n">
        <v>238272</v>
      </c>
      <c r="D115" s="7" t="n">
        <v>138991</v>
      </c>
    </row>
    <row r="116" customFormat="false" ht="15" hidden="false" customHeight="false" outlineLevel="0" collapsed="false">
      <c r="A116" s="8" t="s">
        <v>565</v>
      </c>
      <c r="B116" s="8" t="s">
        <v>566</v>
      </c>
      <c r="C116" s="7" t="n">
        <v>462314</v>
      </c>
      <c r="D116" s="7" t="n">
        <v>363306</v>
      </c>
    </row>
    <row r="117" customFormat="false" ht="15" hidden="false" customHeight="false" outlineLevel="0" collapsed="false">
      <c r="A117" s="6" t="s">
        <v>567</v>
      </c>
      <c r="B117" s="8"/>
      <c r="C117" s="7"/>
      <c r="D117" s="7"/>
    </row>
    <row r="119" customFormat="false" ht="15" hidden="false" customHeight="false" outlineLevel="0" collapsed="false">
      <c r="A119" s="5" t="s">
        <v>568</v>
      </c>
    </row>
    <row r="120" customFormat="false" ht="15" hidden="false" customHeight="false" outlineLevel="0" collapsed="false">
      <c r="A120" s="3" t="s">
        <v>388</v>
      </c>
      <c r="B120" s="3" t="s">
        <v>569</v>
      </c>
      <c r="C120" s="3" t="s">
        <v>570</v>
      </c>
      <c r="D120" s="3" t="s">
        <v>571</v>
      </c>
      <c r="E120" s="3" t="s">
        <v>572</v>
      </c>
      <c r="F120" s="3" t="s">
        <v>573</v>
      </c>
      <c r="G120" s="3" t="s">
        <v>574</v>
      </c>
      <c r="H120" s="3" t="s">
        <v>575</v>
      </c>
    </row>
    <row r="121" customFormat="false" ht="15" hidden="false" customHeight="false" outlineLevel="0" collapsed="false">
      <c r="A121" s="8" t="s">
        <v>576</v>
      </c>
      <c r="B121" s="8" t="s">
        <v>577</v>
      </c>
      <c r="C121" s="8" t="s">
        <v>391</v>
      </c>
      <c r="D121" s="7" t="n">
        <v>240405</v>
      </c>
      <c r="E121" s="7" t="n">
        <v>6052</v>
      </c>
      <c r="F121" s="7" t="n">
        <v>2949</v>
      </c>
      <c r="G121" s="7" t="n">
        <v>33090</v>
      </c>
      <c r="H121" s="7" t="n">
        <v>150011</v>
      </c>
    </row>
    <row r="122" customFormat="false" ht="15" hidden="false" customHeight="false" outlineLevel="0" collapsed="false">
      <c r="A122" s="8" t="s">
        <v>578</v>
      </c>
      <c r="B122" s="8" t="s">
        <v>579</v>
      </c>
      <c r="C122" s="8" t="s">
        <v>393</v>
      </c>
      <c r="D122" s="7" t="n">
        <v>2800</v>
      </c>
      <c r="E122" s="7" t="n">
        <v>70</v>
      </c>
      <c r="F122" s="7" t="n">
        <v>34</v>
      </c>
      <c r="G122" s="7" t="n">
        <v>385</v>
      </c>
      <c r="H122" s="7" t="n">
        <v>1747</v>
      </c>
    </row>
    <row r="123" customFormat="false" ht="15" hidden="false" customHeight="false" outlineLevel="0" collapsed="false">
      <c r="A123" s="8" t="s">
        <v>580</v>
      </c>
      <c r="B123" s="8" t="s">
        <v>581</v>
      </c>
      <c r="C123" s="8" t="s">
        <v>395</v>
      </c>
      <c r="D123" s="7" t="n">
        <v>26321</v>
      </c>
      <c r="E123" s="7" t="n">
        <v>5186</v>
      </c>
      <c r="F123" s="7" t="n">
        <v>313</v>
      </c>
      <c r="G123" s="7" t="n">
        <v>3513</v>
      </c>
      <c r="H123" s="7" t="n">
        <v>16587</v>
      </c>
    </row>
    <row r="124" customFormat="false" ht="15" hidden="false" customHeight="false" outlineLevel="0" collapsed="false">
      <c r="A124" s="8" t="s">
        <v>582</v>
      </c>
      <c r="B124" s="8" t="s">
        <v>583</v>
      </c>
      <c r="C124" s="8" t="s">
        <v>397</v>
      </c>
      <c r="D124" s="7" t="n">
        <v>33297</v>
      </c>
      <c r="E124" s="7" t="n">
        <v>6561</v>
      </c>
      <c r="F124" s="7" t="n">
        <v>396</v>
      </c>
      <c r="G124" s="7" t="n">
        <v>4444</v>
      </c>
      <c r="H124" s="7" t="n">
        <v>20983</v>
      </c>
    </row>
    <row r="125" customFormat="false" ht="15" hidden="false" customHeight="false" outlineLevel="0" collapsed="false">
      <c r="A125" s="8" t="s">
        <v>584</v>
      </c>
      <c r="B125" s="8" t="s">
        <v>585</v>
      </c>
      <c r="C125" s="8" t="s">
        <v>399</v>
      </c>
      <c r="D125" s="7" t="n">
        <v>226140</v>
      </c>
      <c r="E125" s="7" t="n">
        <v>89</v>
      </c>
      <c r="F125" s="7" t="n">
        <v>1952</v>
      </c>
      <c r="G125" s="7" t="n">
        <v>21913</v>
      </c>
      <c r="H125" s="7" t="n">
        <v>166854</v>
      </c>
    </row>
    <row r="126" customFormat="false" ht="15" hidden="false" customHeight="false" outlineLevel="0" collapsed="false">
      <c r="A126" s="8" t="s">
        <v>586</v>
      </c>
      <c r="B126" s="8" t="s">
        <v>587</v>
      </c>
      <c r="C126" s="8" t="s">
        <v>401</v>
      </c>
      <c r="D126" s="7" t="n">
        <v>245500</v>
      </c>
      <c r="E126" s="7" t="n">
        <v>61</v>
      </c>
      <c r="F126" s="7" t="n">
        <v>2187</v>
      </c>
      <c r="G126" s="7" t="n">
        <v>24540</v>
      </c>
      <c r="H126" s="7" t="n">
        <v>179118</v>
      </c>
    </row>
    <row r="127" customFormat="false" ht="15" hidden="false" customHeight="false" outlineLevel="0" collapsed="false">
      <c r="A127" s="8" t="s">
        <v>588</v>
      </c>
      <c r="B127" s="8" t="s">
        <v>589</v>
      </c>
      <c r="C127" s="8" t="s">
        <v>403</v>
      </c>
      <c r="D127" s="7" t="n">
        <v>1398</v>
      </c>
      <c r="E127" s="7" t="n">
        <v>0</v>
      </c>
      <c r="F127" s="7" t="n">
        <v>19</v>
      </c>
      <c r="G127" s="7" t="n">
        <v>208</v>
      </c>
      <c r="H127" s="7" t="n">
        <v>829</v>
      </c>
    </row>
    <row r="128" customFormat="false" ht="15" hidden="false" customHeight="false" outlineLevel="0" collapsed="false">
      <c r="A128" s="8" t="s">
        <v>590</v>
      </c>
      <c r="B128" s="8" t="s">
        <v>591</v>
      </c>
      <c r="C128" s="8" t="s">
        <v>405</v>
      </c>
      <c r="D128" s="7" t="n">
        <v>4708</v>
      </c>
      <c r="E128" s="7" t="n">
        <v>338</v>
      </c>
      <c r="F128" s="7" t="n">
        <v>139</v>
      </c>
      <c r="G128" s="7" t="n">
        <v>1579</v>
      </c>
      <c r="H128" s="7" t="n">
        <v>3493</v>
      </c>
    </row>
    <row r="129" customFormat="false" ht="15" hidden="false" customHeight="false" outlineLevel="0" collapsed="false">
      <c r="A129" s="8" t="s">
        <v>592</v>
      </c>
      <c r="B129" s="8" t="s">
        <v>593</v>
      </c>
      <c r="C129" s="8" t="s">
        <v>594</v>
      </c>
      <c r="D129" s="7" t="n">
        <v>5135</v>
      </c>
      <c r="E129" s="7" t="n">
        <v>3769</v>
      </c>
      <c r="F129" s="7" t="n">
        <v>89</v>
      </c>
      <c r="G129" s="7" t="n">
        <v>1007</v>
      </c>
      <c r="H129" s="7" t="n">
        <v>8136</v>
      </c>
    </row>
    <row r="130" customFormat="false" ht="15" hidden="false" customHeight="false" outlineLevel="0" collapsed="false">
      <c r="A130" s="8" t="s">
        <v>595</v>
      </c>
      <c r="B130" s="8" t="s">
        <v>596</v>
      </c>
      <c r="C130" s="8" t="s">
        <v>409</v>
      </c>
      <c r="D130" s="7" t="n">
        <v>5168</v>
      </c>
      <c r="E130" s="7" t="n">
        <v>10</v>
      </c>
      <c r="F130" s="7" t="n">
        <v>132</v>
      </c>
      <c r="G130" s="7" t="n">
        <v>1503</v>
      </c>
      <c r="H130" s="7" t="n">
        <v>5444</v>
      </c>
    </row>
    <row r="131" customFormat="false" ht="15" hidden="false" customHeight="false" outlineLevel="0" collapsed="false">
      <c r="A131" s="8" t="s">
        <v>597</v>
      </c>
      <c r="B131" s="8" t="s">
        <v>596</v>
      </c>
      <c r="C131" s="8" t="s">
        <v>409</v>
      </c>
      <c r="D131" s="7" t="n">
        <v>3015</v>
      </c>
      <c r="E131" s="7" t="n">
        <v>0</v>
      </c>
      <c r="F131" s="7" t="n">
        <v>96</v>
      </c>
      <c r="G131" s="7" t="n">
        <v>1090</v>
      </c>
      <c r="H131" s="7" t="n">
        <v>3212</v>
      </c>
    </row>
    <row r="132" customFormat="false" ht="15" hidden="false" customHeight="false" outlineLevel="0" collapsed="false">
      <c r="A132" s="8" t="s">
        <v>598</v>
      </c>
      <c r="B132" s="8" t="s">
        <v>599</v>
      </c>
      <c r="C132" s="8" t="s">
        <v>411</v>
      </c>
      <c r="D132" s="7" t="n">
        <v>119282</v>
      </c>
      <c r="E132" s="7" t="n">
        <v>159</v>
      </c>
      <c r="F132" s="7" t="n">
        <v>1045</v>
      </c>
      <c r="G132" s="7" t="n">
        <v>11756</v>
      </c>
      <c r="H132" s="7" t="n">
        <v>92606</v>
      </c>
    </row>
    <row r="133" customFormat="false" ht="15" hidden="false" customHeight="false" outlineLevel="0" collapsed="false">
      <c r="A133" s="8" t="s">
        <v>600</v>
      </c>
      <c r="B133" s="8" t="s">
        <v>601</v>
      </c>
      <c r="C133" s="8" t="s">
        <v>413</v>
      </c>
      <c r="D133" s="7" t="n">
        <v>8454</v>
      </c>
      <c r="E133" s="7" t="n">
        <v>4</v>
      </c>
      <c r="F133" s="7" t="n">
        <v>88</v>
      </c>
      <c r="G133" s="7" t="n">
        <v>995</v>
      </c>
      <c r="H133" s="7" t="n">
        <v>6295</v>
      </c>
    </row>
    <row r="134" customFormat="false" ht="15" hidden="false" customHeight="false" outlineLevel="0" collapsed="false">
      <c r="A134" s="8" t="s">
        <v>602</v>
      </c>
      <c r="B134" s="8" t="s">
        <v>603</v>
      </c>
      <c r="C134" s="8" t="s">
        <v>491</v>
      </c>
      <c r="D134" s="7" t="n">
        <v>133</v>
      </c>
      <c r="E134" s="7" t="n">
        <v>0</v>
      </c>
      <c r="F134" s="7" t="n">
        <v>0</v>
      </c>
      <c r="G134" s="7" t="n">
        <v>0</v>
      </c>
      <c r="H134" s="7" t="n">
        <v>0</v>
      </c>
    </row>
    <row r="135" customFormat="false" ht="15" hidden="false" customHeight="false" outlineLevel="0" collapsed="false">
      <c r="A135" s="8" t="s">
        <v>604</v>
      </c>
      <c r="B135" s="8" t="s">
        <v>605</v>
      </c>
      <c r="C135" s="8" t="s">
        <v>415</v>
      </c>
      <c r="D135" s="7" t="n">
        <v>9912</v>
      </c>
      <c r="E135" s="7" t="n">
        <v>70</v>
      </c>
      <c r="F135" s="7" t="n">
        <v>2741</v>
      </c>
      <c r="G135" s="7" t="n">
        <v>1675</v>
      </c>
      <c r="H135" s="7" t="n">
        <v>11452</v>
      </c>
    </row>
    <row r="136" customFormat="false" ht="15" hidden="false" customHeight="false" outlineLevel="0" collapsed="false">
      <c r="A136" s="8" t="s">
        <v>606</v>
      </c>
      <c r="B136" s="8" t="s">
        <v>607</v>
      </c>
      <c r="C136" s="8" t="s">
        <v>417</v>
      </c>
      <c r="D136" s="7" t="n">
        <v>25801</v>
      </c>
      <c r="E136" s="7" t="n">
        <v>1921</v>
      </c>
      <c r="F136" s="7" t="n">
        <v>7260</v>
      </c>
      <c r="G136" s="7" t="n">
        <v>4441</v>
      </c>
      <c r="H136" s="7" t="n">
        <v>29852</v>
      </c>
    </row>
    <row r="137" customFormat="false" ht="15" hidden="false" customHeight="false" outlineLevel="0" collapsed="false">
      <c r="A137" s="8" t="s">
        <v>608</v>
      </c>
      <c r="B137" s="8" t="s">
        <v>609</v>
      </c>
      <c r="C137" s="8" t="s">
        <v>419</v>
      </c>
      <c r="D137" s="7" t="n">
        <v>569</v>
      </c>
      <c r="E137" s="7" t="n">
        <v>0</v>
      </c>
      <c r="F137" s="7" t="n">
        <v>12</v>
      </c>
      <c r="G137" s="7" t="n">
        <v>7</v>
      </c>
      <c r="H137" s="7" t="n">
        <v>576</v>
      </c>
    </row>
    <row r="138" customFormat="false" ht="15" hidden="false" customHeight="false" outlineLevel="0" collapsed="false">
      <c r="A138" s="8" t="s">
        <v>610</v>
      </c>
      <c r="B138" s="8" t="s">
        <v>609</v>
      </c>
      <c r="C138" s="8" t="s">
        <v>419</v>
      </c>
      <c r="D138" s="7" t="n">
        <v>1245</v>
      </c>
      <c r="E138" s="7" t="n">
        <v>0</v>
      </c>
      <c r="F138" s="7" t="n">
        <v>122</v>
      </c>
      <c r="G138" s="7" t="n">
        <v>75</v>
      </c>
      <c r="H138" s="7" t="n">
        <v>1306</v>
      </c>
    </row>
    <row r="139" customFormat="false" ht="15" hidden="false" customHeight="false" outlineLevel="0" collapsed="false">
      <c r="A139" s="8" t="s">
        <v>611</v>
      </c>
      <c r="B139" s="8" t="s">
        <v>609</v>
      </c>
      <c r="C139" s="8" t="s">
        <v>419</v>
      </c>
      <c r="D139" s="7" t="n">
        <v>9874</v>
      </c>
      <c r="E139" s="7" t="n">
        <v>0</v>
      </c>
      <c r="F139" s="7" t="n">
        <v>1786</v>
      </c>
      <c r="G139" s="7" t="n">
        <v>1093</v>
      </c>
      <c r="H139" s="7" t="n">
        <v>5062</v>
      </c>
    </row>
    <row r="140" customFormat="false" ht="15" hidden="false" customHeight="false" outlineLevel="0" collapsed="false">
      <c r="A140" s="8" t="s">
        <v>612</v>
      </c>
      <c r="B140" s="8" t="s">
        <v>609</v>
      </c>
      <c r="C140" s="8" t="s">
        <v>419</v>
      </c>
      <c r="D140" s="7" t="n">
        <v>20336</v>
      </c>
      <c r="E140" s="7" t="n">
        <v>88</v>
      </c>
      <c r="F140" s="7" t="n">
        <v>3259</v>
      </c>
      <c r="G140" s="7" t="n">
        <v>1994</v>
      </c>
      <c r="H140" s="7" t="n">
        <v>20508</v>
      </c>
    </row>
    <row r="141" customFormat="false" ht="15" hidden="false" customHeight="false" outlineLevel="0" collapsed="false">
      <c r="A141" s="8" t="s">
        <v>613</v>
      </c>
      <c r="B141" s="8" t="s">
        <v>614</v>
      </c>
      <c r="C141" s="8" t="s">
        <v>419</v>
      </c>
      <c r="D141" s="7" t="n">
        <v>3096</v>
      </c>
      <c r="E141" s="7" t="n">
        <v>1602</v>
      </c>
      <c r="F141" s="7" t="n">
        <v>895</v>
      </c>
      <c r="G141" s="7" t="n">
        <v>547</v>
      </c>
      <c r="H141" s="7" t="n">
        <v>3860</v>
      </c>
    </row>
    <row r="142" customFormat="false" ht="15" hidden="false" customHeight="false" outlineLevel="0" collapsed="false">
      <c r="A142" s="8" t="s">
        <v>615</v>
      </c>
      <c r="B142" s="8" t="s">
        <v>616</v>
      </c>
      <c r="C142" s="8" t="s">
        <v>421</v>
      </c>
      <c r="D142" s="7" t="n">
        <v>1529</v>
      </c>
      <c r="E142" s="7" t="n">
        <v>0</v>
      </c>
      <c r="F142" s="7" t="n">
        <v>21090</v>
      </c>
      <c r="G142" s="7" t="n">
        <v>3128</v>
      </c>
      <c r="H142" s="7" t="n">
        <v>4214</v>
      </c>
    </row>
    <row r="143" customFormat="false" ht="15" hidden="false" customHeight="false" outlineLevel="0" collapsed="false">
      <c r="A143" s="8" t="s">
        <v>617</v>
      </c>
      <c r="B143" s="8" t="s">
        <v>618</v>
      </c>
      <c r="C143" s="8" t="s">
        <v>423</v>
      </c>
      <c r="D143" s="7" t="n">
        <v>7030</v>
      </c>
      <c r="E143" s="7" t="n">
        <v>0</v>
      </c>
      <c r="F143" s="7" t="n">
        <v>96991</v>
      </c>
      <c r="G143" s="7" t="n">
        <v>14383</v>
      </c>
      <c r="H143" s="7" t="n">
        <v>19380</v>
      </c>
    </row>
    <row r="144" customFormat="false" ht="15" hidden="false" customHeight="false" outlineLevel="0" collapsed="false">
      <c r="A144" s="8" t="s">
        <v>619</v>
      </c>
      <c r="B144" s="8" t="s">
        <v>620</v>
      </c>
      <c r="C144" s="8" t="s">
        <v>425</v>
      </c>
      <c r="D144" s="7" t="n">
        <v>1225</v>
      </c>
      <c r="E144" s="7" t="n">
        <v>88</v>
      </c>
      <c r="F144" s="7" t="n">
        <v>787</v>
      </c>
      <c r="G144" s="7" t="n">
        <v>589</v>
      </c>
      <c r="H144" s="7" t="n">
        <v>1087</v>
      </c>
    </row>
    <row r="145" customFormat="false" ht="15" hidden="false" customHeight="false" outlineLevel="0" collapsed="false">
      <c r="A145" s="8" t="s">
        <v>621</v>
      </c>
      <c r="B145" s="8" t="s">
        <v>622</v>
      </c>
      <c r="C145" s="8" t="s">
        <v>425</v>
      </c>
      <c r="D145" s="7" t="n">
        <v>16303</v>
      </c>
      <c r="E145" s="7" t="n">
        <v>1268</v>
      </c>
      <c r="F145" s="7" t="n">
        <v>10428</v>
      </c>
      <c r="G145" s="7" t="n">
        <v>7813</v>
      </c>
      <c r="H145" s="7" t="n">
        <v>13689</v>
      </c>
    </row>
    <row r="146" customFormat="false" ht="15" hidden="false" customHeight="false" outlineLevel="0" collapsed="false">
      <c r="A146" s="8" t="s">
        <v>623</v>
      </c>
      <c r="B146" s="8" t="s">
        <v>624</v>
      </c>
      <c r="C146" s="8" t="s">
        <v>427</v>
      </c>
      <c r="D146" s="7" t="n">
        <v>47560</v>
      </c>
      <c r="E146" s="7" t="n">
        <v>26025</v>
      </c>
      <c r="F146" s="7" t="n">
        <v>140</v>
      </c>
      <c r="G146" s="7" t="n">
        <v>13031</v>
      </c>
      <c r="H146" s="7" t="n">
        <v>36259</v>
      </c>
    </row>
    <row r="147" customFormat="false" ht="15" hidden="false" customHeight="false" outlineLevel="0" collapsed="false">
      <c r="A147" s="8" t="s">
        <v>625</v>
      </c>
      <c r="B147" s="8" t="s">
        <v>626</v>
      </c>
      <c r="C147" s="8" t="s">
        <v>429</v>
      </c>
      <c r="D147" s="7" t="n">
        <v>49031</v>
      </c>
      <c r="E147" s="7" t="n">
        <v>23</v>
      </c>
      <c r="F147" s="7" t="n">
        <v>4717</v>
      </c>
      <c r="G147" s="7" t="n">
        <v>10693</v>
      </c>
      <c r="H147" s="7" t="n">
        <v>38502</v>
      </c>
    </row>
    <row r="148" customFormat="false" ht="15" hidden="false" customHeight="false" outlineLevel="0" collapsed="false">
      <c r="A148" s="8" t="s">
        <v>627</v>
      </c>
      <c r="B148" s="8" t="s">
        <v>628</v>
      </c>
      <c r="C148" s="8" t="s">
        <v>431</v>
      </c>
      <c r="D148" s="7" t="n">
        <v>5210</v>
      </c>
      <c r="E148" s="7" t="n">
        <v>0</v>
      </c>
      <c r="F148" s="7" t="n">
        <v>123</v>
      </c>
      <c r="G148" s="7" t="n">
        <v>280</v>
      </c>
      <c r="H148" s="7" t="n">
        <v>5073</v>
      </c>
    </row>
    <row r="149" customFormat="false" ht="15" hidden="false" customHeight="false" outlineLevel="0" collapsed="false">
      <c r="A149" s="8" t="s">
        <v>629</v>
      </c>
      <c r="B149" s="8" t="s">
        <v>630</v>
      </c>
      <c r="C149" s="8" t="s">
        <v>433</v>
      </c>
      <c r="D149" s="7" t="n">
        <v>122439</v>
      </c>
      <c r="E149" s="7" t="n">
        <v>0</v>
      </c>
      <c r="F149" s="7" t="n">
        <v>0</v>
      </c>
      <c r="G149" s="7" t="n">
        <v>1400</v>
      </c>
      <c r="H149" s="7" t="n">
        <v>0</v>
      </c>
    </row>
    <row r="150" customFormat="false" ht="15" hidden="false" customHeight="false" outlineLevel="0" collapsed="false">
      <c r="A150" s="8" t="s">
        <v>631</v>
      </c>
      <c r="B150" s="8" t="s">
        <v>632</v>
      </c>
      <c r="C150" s="8" t="s">
        <v>435</v>
      </c>
      <c r="D150" s="7" t="n">
        <v>20169</v>
      </c>
      <c r="E150" s="7" t="n">
        <v>0</v>
      </c>
      <c r="F150" s="7" t="n">
        <v>196749</v>
      </c>
      <c r="G150" s="7" t="n">
        <v>6090</v>
      </c>
      <c r="H150" s="7" t="n">
        <v>540</v>
      </c>
    </row>
    <row r="151" customFormat="false" ht="15" hidden="false" customHeight="false" outlineLevel="0" collapsed="false">
      <c r="A151" s="8" t="s">
        <v>633</v>
      </c>
      <c r="B151" s="8" t="s">
        <v>634</v>
      </c>
      <c r="C151" s="8" t="s">
        <v>435</v>
      </c>
      <c r="D151" s="7" t="n">
        <v>1300</v>
      </c>
      <c r="E151" s="7" t="n">
        <v>732</v>
      </c>
      <c r="F151" s="7" t="n">
        <v>9381</v>
      </c>
      <c r="G151" s="7" t="n">
        <v>290</v>
      </c>
      <c r="H151" s="7" t="n">
        <v>37</v>
      </c>
    </row>
    <row r="152" customFormat="false" ht="15" hidden="false" customHeight="false" outlineLevel="0" collapsed="false">
      <c r="A152" s="8" t="s">
        <v>635</v>
      </c>
      <c r="B152" s="8" t="s">
        <v>636</v>
      </c>
      <c r="C152" s="8" t="s">
        <v>437</v>
      </c>
      <c r="D152" s="7" t="n">
        <v>100</v>
      </c>
      <c r="E152" s="7" t="n">
        <v>134</v>
      </c>
      <c r="F152" s="7" t="n">
        <v>83314</v>
      </c>
      <c r="G152" s="7" t="n">
        <v>17330</v>
      </c>
      <c r="H152" s="7" t="n">
        <v>2740</v>
      </c>
    </row>
    <row r="153" customFormat="false" ht="15" hidden="false" customHeight="false" outlineLevel="0" collapsed="false">
      <c r="A153" s="8" t="s">
        <v>637</v>
      </c>
      <c r="B153" s="8" t="s">
        <v>638</v>
      </c>
      <c r="C153" s="8" t="s">
        <v>439</v>
      </c>
      <c r="D153" s="7" t="n">
        <v>35060</v>
      </c>
      <c r="E153" s="7" t="n">
        <v>0</v>
      </c>
      <c r="F153" s="7" t="n">
        <v>0</v>
      </c>
      <c r="G153" s="7" t="n">
        <v>0</v>
      </c>
      <c r="H153" s="7" t="n">
        <v>27977</v>
      </c>
    </row>
    <row r="154" customFormat="false" ht="15" hidden="false" customHeight="false" outlineLevel="0" collapsed="false">
      <c r="A154" s="8" t="s">
        <v>639</v>
      </c>
      <c r="B154" s="8" t="s">
        <v>640</v>
      </c>
      <c r="C154" s="8" t="s">
        <v>457</v>
      </c>
      <c r="D154" s="7" t="n">
        <v>48094</v>
      </c>
      <c r="E154" s="7" t="n">
        <v>2</v>
      </c>
      <c r="F154" s="7" t="n">
        <v>28224</v>
      </c>
      <c r="G154" s="7" t="n">
        <v>10575</v>
      </c>
      <c r="H154" s="7" t="n">
        <v>43704</v>
      </c>
    </row>
    <row r="155" customFormat="false" ht="15" hidden="false" customHeight="false" outlineLevel="0" collapsed="false">
      <c r="A155" s="8" t="s">
        <v>641</v>
      </c>
      <c r="B155" s="8" t="s">
        <v>642</v>
      </c>
      <c r="C155" s="8" t="s">
        <v>441</v>
      </c>
      <c r="D155" s="7" t="n">
        <v>149328</v>
      </c>
      <c r="E155" s="7" t="n">
        <v>3</v>
      </c>
      <c r="F155" s="7" t="n">
        <v>1182</v>
      </c>
      <c r="G155" s="7" t="n">
        <v>20559</v>
      </c>
      <c r="H155" s="7" t="n">
        <v>24384</v>
      </c>
    </row>
    <row r="156" customFormat="false" ht="15" hidden="false" customHeight="false" outlineLevel="0" collapsed="false">
      <c r="A156" s="8" t="s">
        <v>643</v>
      </c>
      <c r="B156" s="8" t="s">
        <v>642</v>
      </c>
      <c r="C156" s="8" t="s">
        <v>441</v>
      </c>
      <c r="D156" s="7" t="n">
        <v>65876</v>
      </c>
      <c r="E156" s="7" t="n">
        <v>0</v>
      </c>
      <c r="F156" s="7" t="n">
        <v>521</v>
      </c>
      <c r="G156" s="7" t="n">
        <v>9070</v>
      </c>
      <c r="H156" s="7" t="n">
        <v>10756</v>
      </c>
    </row>
    <row r="157" customFormat="false" ht="15" hidden="false" customHeight="false" outlineLevel="0" collapsed="false">
      <c r="A157" s="8" t="s">
        <v>644</v>
      </c>
      <c r="B157" s="8" t="s">
        <v>642</v>
      </c>
      <c r="C157" s="8" t="s">
        <v>441</v>
      </c>
      <c r="D157" s="7" t="n">
        <v>56718</v>
      </c>
      <c r="E157" s="7" t="n">
        <v>0</v>
      </c>
      <c r="F157" s="7" t="n">
        <v>497</v>
      </c>
      <c r="G157" s="7" t="n">
        <v>8639</v>
      </c>
      <c r="H157" s="7" t="n">
        <v>4210</v>
      </c>
    </row>
    <row r="158" customFormat="false" ht="15" hidden="false" customHeight="false" outlineLevel="0" collapsed="false">
      <c r="A158" s="8" t="s">
        <v>645</v>
      </c>
      <c r="B158" s="8" t="s">
        <v>646</v>
      </c>
      <c r="C158" s="8" t="s">
        <v>443</v>
      </c>
      <c r="D158" s="7" t="n">
        <v>116948</v>
      </c>
      <c r="E158" s="7" t="n">
        <v>5</v>
      </c>
      <c r="F158" s="7" t="n">
        <v>270</v>
      </c>
      <c r="G158" s="7" t="n">
        <v>11472</v>
      </c>
      <c r="H158" s="7" t="n">
        <v>43769</v>
      </c>
    </row>
    <row r="159" customFormat="false" ht="15" hidden="false" customHeight="false" outlineLevel="0" collapsed="false">
      <c r="A159" s="8" t="s">
        <v>647</v>
      </c>
      <c r="B159" s="8" t="s">
        <v>646</v>
      </c>
      <c r="C159" s="8" t="s">
        <v>443</v>
      </c>
      <c r="D159" s="7" t="n">
        <v>96425</v>
      </c>
      <c r="E159" s="7" t="n">
        <v>0</v>
      </c>
      <c r="F159" s="7" t="n">
        <v>227</v>
      </c>
      <c r="G159" s="7" t="n">
        <v>9647</v>
      </c>
      <c r="H159" s="7" t="n">
        <v>34890</v>
      </c>
    </row>
    <row r="160" customFormat="false" ht="15" hidden="false" customHeight="false" outlineLevel="0" collapsed="false">
      <c r="A160" s="8" t="s">
        <v>648</v>
      </c>
      <c r="B160" s="8" t="s">
        <v>646</v>
      </c>
      <c r="C160" s="8" t="s">
        <v>443</v>
      </c>
      <c r="D160" s="7" t="n">
        <v>862</v>
      </c>
      <c r="E160" s="7" t="n">
        <v>0</v>
      </c>
      <c r="F160" s="7" t="n">
        <v>2</v>
      </c>
      <c r="G160" s="7" t="n">
        <v>105</v>
      </c>
      <c r="H160" s="7" t="n">
        <v>191</v>
      </c>
    </row>
    <row r="161" customFormat="false" ht="15" hidden="false" customHeight="false" outlineLevel="0" collapsed="false">
      <c r="A161" s="8" t="s">
        <v>649</v>
      </c>
      <c r="B161" s="8" t="s">
        <v>650</v>
      </c>
      <c r="C161" s="8" t="s">
        <v>445</v>
      </c>
      <c r="D161" s="7" t="n">
        <v>3426</v>
      </c>
      <c r="E161" s="7" t="n">
        <v>2</v>
      </c>
      <c r="F161" s="7" t="n">
        <v>0</v>
      </c>
      <c r="G161" s="7" t="n">
        <v>753</v>
      </c>
      <c r="H161" s="7" t="n">
        <v>2643</v>
      </c>
    </row>
    <row r="162" customFormat="false" ht="15" hidden="false" customHeight="false" outlineLevel="0" collapsed="false">
      <c r="A162" s="8" t="s">
        <v>651</v>
      </c>
      <c r="B162" s="8" t="s">
        <v>652</v>
      </c>
      <c r="C162" s="8" t="s">
        <v>447</v>
      </c>
      <c r="D162" s="7" t="n">
        <v>1387</v>
      </c>
      <c r="E162" s="7" t="n">
        <v>19</v>
      </c>
      <c r="F162" s="7" t="n">
        <v>0</v>
      </c>
      <c r="G162" s="7" t="n">
        <v>305</v>
      </c>
      <c r="H162" s="7" t="n">
        <v>945</v>
      </c>
    </row>
    <row r="163" customFormat="false" ht="15" hidden="false" customHeight="false" outlineLevel="0" collapsed="false">
      <c r="A163" s="8" t="s">
        <v>653</v>
      </c>
      <c r="B163" s="8" t="s">
        <v>654</v>
      </c>
      <c r="C163" s="8" t="s">
        <v>449</v>
      </c>
      <c r="D163" s="7" t="n">
        <v>515</v>
      </c>
      <c r="E163" s="7" t="n">
        <v>7</v>
      </c>
      <c r="F163" s="7" t="n">
        <v>0</v>
      </c>
      <c r="G163" s="7" t="n">
        <v>113</v>
      </c>
      <c r="H163" s="7" t="n">
        <v>198</v>
      </c>
    </row>
    <row r="164" customFormat="false" ht="15" hidden="false" customHeight="false" outlineLevel="0" collapsed="false">
      <c r="A164" s="8" t="s">
        <v>655</v>
      </c>
      <c r="B164" s="8" t="s">
        <v>656</v>
      </c>
      <c r="C164" s="8" t="s">
        <v>449</v>
      </c>
      <c r="D164" s="7" t="n">
        <v>1</v>
      </c>
      <c r="E164" s="7" t="n">
        <v>0</v>
      </c>
      <c r="F164" s="7" t="n">
        <v>0</v>
      </c>
      <c r="G164" s="7" t="n">
        <v>0</v>
      </c>
      <c r="H164" s="7" t="n">
        <v>0</v>
      </c>
    </row>
    <row r="165" customFormat="false" ht="15" hidden="false" customHeight="false" outlineLevel="0" collapsed="false">
      <c r="A165" s="8" t="s">
        <v>657</v>
      </c>
      <c r="B165" s="8" t="s">
        <v>658</v>
      </c>
      <c r="C165" s="8" t="s">
        <v>451</v>
      </c>
      <c r="D165" s="7" t="n">
        <v>14134</v>
      </c>
      <c r="E165" s="7" t="n">
        <v>0</v>
      </c>
      <c r="F165" s="7" t="n">
        <v>0</v>
      </c>
      <c r="G165" s="7" t="n">
        <v>1747</v>
      </c>
      <c r="H165" s="7" t="n">
        <v>9984</v>
      </c>
    </row>
    <row r="166" customFormat="false" ht="15" hidden="false" customHeight="false" outlineLevel="0" collapsed="false">
      <c r="A166" s="8" t="s">
        <v>659</v>
      </c>
      <c r="B166" s="8" t="s">
        <v>660</v>
      </c>
      <c r="C166" s="8" t="s">
        <v>455</v>
      </c>
      <c r="D166" s="7" t="n">
        <v>7214</v>
      </c>
      <c r="E166" s="7" t="n">
        <v>0</v>
      </c>
      <c r="F166" s="7" t="n">
        <v>0</v>
      </c>
      <c r="G166" s="7" t="n">
        <v>2051</v>
      </c>
      <c r="H166" s="7" t="n">
        <v>2745</v>
      </c>
    </row>
    <row r="167" customFormat="false" ht="15" hidden="false" customHeight="false" outlineLevel="0" collapsed="false">
      <c r="A167" s="8" t="s">
        <v>661</v>
      </c>
      <c r="B167" s="8" t="s">
        <v>662</v>
      </c>
      <c r="C167" s="8" t="s">
        <v>453</v>
      </c>
      <c r="D167" s="7" t="n">
        <v>954</v>
      </c>
      <c r="E167" s="7" t="n">
        <v>20</v>
      </c>
      <c r="F167" s="7" t="n">
        <v>0</v>
      </c>
      <c r="G167" s="7" t="n">
        <v>209</v>
      </c>
      <c r="H167" s="7" t="n">
        <v>369</v>
      </c>
    </row>
    <row r="168" customFormat="false" ht="15" hidden="false" customHeight="false" outlineLevel="0" collapsed="false">
      <c r="A168" s="8" t="s">
        <v>663</v>
      </c>
      <c r="B168" s="8" t="s">
        <v>642</v>
      </c>
      <c r="C168" s="8" t="s">
        <v>441</v>
      </c>
      <c r="D168" s="7" t="n">
        <v>436</v>
      </c>
      <c r="E168" s="7" t="n">
        <v>0</v>
      </c>
      <c r="F168" s="7" t="n">
        <v>0</v>
      </c>
      <c r="G168" s="7" t="n">
        <v>0</v>
      </c>
      <c r="H168" s="7" t="n">
        <v>0</v>
      </c>
    </row>
    <row r="169" customFormat="false" ht="15" hidden="false" customHeight="false" outlineLevel="0" collapsed="false">
      <c r="A169" s="8" t="s">
        <v>664</v>
      </c>
      <c r="B169" s="8" t="s">
        <v>660</v>
      </c>
      <c r="C169" s="8" t="s">
        <v>455</v>
      </c>
      <c r="D169" s="7" t="n">
        <v>128718</v>
      </c>
      <c r="E169" s="7" t="n">
        <v>335</v>
      </c>
      <c r="F169" s="7" t="n">
        <v>0</v>
      </c>
      <c r="G169" s="7" t="n">
        <v>27409</v>
      </c>
      <c r="H169" s="7" t="n">
        <v>68966</v>
      </c>
    </row>
    <row r="170" customFormat="false" ht="15" hidden="false" customHeight="false" outlineLevel="0" collapsed="false">
      <c r="A170" s="8" t="s">
        <v>665</v>
      </c>
      <c r="B170" s="8" t="s">
        <v>666</v>
      </c>
      <c r="C170" s="8" t="s">
        <v>459</v>
      </c>
      <c r="D170" s="7" t="n">
        <v>3070</v>
      </c>
      <c r="E170" s="7" t="n">
        <v>0</v>
      </c>
      <c r="F170" s="7" t="n">
        <v>0</v>
      </c>
      <c r="G170" s="7" t="n">
        <v>0</v>
      </c>
      <c r="H170" s="7" t="n">
        <v>180</v>
      </c>
    </row>
    <row r="171" customFormat="false" ht="15" hidden="false" customHeight="false" outlineLevel="0" collapsed="false">
      <c r="A171" s="8" t="s">
        <v>667</v>
      </c>
      <c r="B171" s="8" t="s">
        <v>666</v>
      </c>
      <c r="C171" s="8" t="s">
        <v>459</v>
      </c>
      <c r="D171" s="7" t="n">
        <v>493</v>
      </c>
      <c r="E171" s="7" t="n">
        <v>0</v>
      </c>
      <c r="F171" s="7" t="n">
        <v>0</v>
      </c>
      <c r="G171" s="7" t="n">
        <v>0</v>
      </c>
      <c r="H171" s="7" t="n">
        <v>86</v>
      </c>
    </row>
    <row r="172" customFormat="false" ht="15" hidden="false" customHeight="false" outlineLevel="0" collapsed="false">
      <c r="A172" s="8" t="s">
        <v>668</v>
      </c>
      <c r="B172" s="8" t="s">
        <v>669</v>
      </c>
      <c r="C172" s="8" t="s">
        <v>469</v>
      </c>
      <c r="D172" s="7" t="n">
        <v>9148</v>
      </c>
      <c r="E172" s="7" t="n">
        <v>6</v>
      </c>
      <c r="F172" s="7" t="n">
        <v>40</v>
      </c>
      <c r="G172" s="7" t="n">
        <v>314</v>
      </c>
      <c r="H172" s="7" t="n">
        <v>9012</v>
      </c>
    </row>
    <row r="173" customFormat="false" ht="15" hidden="false" customHeight="false" outlineLevel="0" collapsed="false">
      <c r="A173" s="8" t="s">
        <v>670</v>
      </c>
      <c r="B173" s="8" t="s">
        <v>671</v>
      </c>
      <c r="C173" s="8" t="s">
        <v>467</v>
      </c>
      <c r="D173" s="7" t="n">
        <v>116946</v>
      </c>
      <c r="E173" s="7" t="n">
        <v>22</v>
      </c>
      <c r="F173" s="7" t="n">
        <v>24</v>
      </c>
      <c r="G173" s="7" t="n">
        <v>13638</v>
      </c>
      <c r="H173" s="7" t="n">
        <v>89902</v>
      </c>
    </row>
    <row r="174" customFormat="false" ht="15" hidden="false" customHeight="false" outlineLevel="0" collapsed="false">
      <c r="A174" s="8" t="s">
        <v>672</v>
      </c>
      <c r="B174" s="8" t="s">
        <v>673</v>
      </c>
      <c r="C174" s="8" t="s">
        <v>461</v>
      </c>
      <c r="D174" s="7" t="n">
        <v>2028</v>
      </c>
      <c r="E174" s="7" t="n">
        <v>0</v>
      </c>
      <c r="F174" s="7" t="n">
        <v>0</v>
      </c>
      <c r="G174" s="7" t="n">
        <v>484</v>
      </c>
      <c r="H174" s="7" t="n">
        <v>594</v>
      </c>
    </row>
    <row r="175" customFormat="false" ht="15" hidden="false" customHeight="false" outlineLevel="0" collapsed="false">
      <c r="A175" s="8" t="s">
        <v>674</v>
      </c>
      <c r="B175" s="8" t="s">
        <v>675</v>
      </c>
      <c r="C175" s="8" t="s">
        <v>465</v>
      </c>
      <c r="D175" s="7" t="n">
        <v>49069</v>
      </c>
      <c r="E175" s="7" t="n">
        <v>1</v>
      </c>
      <c r="F175" s="7" t="n">
        <v>35</v>
      </c>
      <c r="G175" s="7" t="n">
        <v>10813</v>
      </c>
      <c r="H175" s="7" t="n">
        <v>19323</v>
      </c>
    </row>
    <row r="176" customFormat="false" ht="15" hidden="false" customHeight="false" outlineLevel="0" collapsed="false">
      <c r="A176" s="8" t="s">
        <v>676</v>
      </c>
      <c r="B176" s="8" t="s">
        <v>677</v>
      </c>
      <c r="C176" s="8" t="s">
        <v>463</v>
      </c>
      <c r="D176" s="7" t="n">
        <v>721</v>
      </c>
      <c r="E176" s="7" t="n">
        <v>0</v>
      </c>
      <c r="F176" s="7" t="n">
        <v>1</v>
      </c>
      <c r="G176" s="7" t="n">
        <v>159</v>
      </c>
      <c r="H176" s="7" t="n">
        <v>284</v>
      </c>
    </row>
    <row r="177" customFormat="false" ht="15" hidden="false" customHeight="false" outlineLevel="0" collapsed="false">
      <c r="A177" s="8" t="s">
        <v>678</v>
      </c>
      <c r="B177" s="8" t="s">
        <v>675</v>
      </c>
      <c r="C177" s="8" t="s">
        <v>465</v>
      </c>
      <c r="D177" s="7" t="n">
        <v>783</v>
      </c>
      <c r="E177" s="7" t="n">
        <v>0</v>
      </c>
      <c r="F177" s="7" t="n">
        <v>1</v>
      </c>
      <c r="G177" s="7" t="n">
        <v>173</v>
      </c>
      <c r="H177" s="7" t="n">
        <v>333</v>
      </c>
    </row>
    <row r="178" customFormat="false" ht="15" hidden="false" customHeight="false" outlineLevel="0" collapsed="false">
      <c r="A178" s="8" t="s">
        <v>679</v>
      </c>
      <c r="B178" s="8" t="s">
        <v>680</v>
      </c>
      <c r="C178" s="8" t="s">
        <v>471</v>
      </c>
      <c r="D178" s="7" t="n">
        <v>2</v>
      </c>
      <c r="E178" s="7" t="n">
        <v>3</v>
      </c>
      <c r="F178" s="7" t="n">
        <v>1508165</v>
      </c>
      <c r="G178" s="7" t="n">
        <v>58071</v>
      </c>
      <c r="H178" s="7" t="n">
        <v>0</v>
      </c>
    </row>
    <row r="179" customFormat="false" ht="15" hidden="false" customHeight="false" outlineLevel="0" collapsed="false">
      <c r="A179" s="8" t="s">
        <v>681</v>
      </c>
      <c r="B179" s="8" t="s">
        <v>682</v>
      </c>
      <c r="C179" s="8" t="s">
        <v>473</v>
      </c>
      <c r="D179" s="7" t="n">
        <v>152788</v>
      </c>
      <c r="E179" s="7" t="n">
        <v>3158</v>
      </c>
      <c r="F179" s="7" t="n">
        <v>103497</v>
      </c>
      <c r="G179" s="7" t="n">
        <v>10254</v>
      </c>
      <c r="H179" s="7" t="n">
        <v>0</v>
      </c>
    </row>
    <row r="180" customFormat="false" ht="15" hidden="false" customHeight="false" outlineLevel="0" collapsed="false">
      <c r="A180" s="8" t="s">
        <v>683</v>
      </c>
      <c r="B180" s="8" t="s">
        <v>684</v>
      </c>
      <c r="C180" s="8" t="s">
        <v>475</v>
      </c>
      <c r="D180" s="7" t="n">
        <v>381872</v>
      </c>
      <c r="E180" s="7" t="n">
        <v>254</v>
      </c>
      <c r="F180" s="7" t="n">
        <v>41</v>
      </c>
      <c r="G180" s="7" t="n">
        <v>39484</v>
      </c>
      <c r="H180" s="7" t="n">
        <v>315050</v>
      </c>
    </row>
    <row r="181" customFormat="false" ht="15" hidden="false" customHeight="false" outlineLevel="0" collapsed="false">
      <c r="A181" s="8" t="s">
        <v>685</v>
      </c>
      <c r="B181" s="8" t="s">
        <v>684</v>
      </c>
      <c r="C181" s="8" t="s">
        <v>475</v>
      </c>
      <c r="D181" s="7" t="n">
        <v>9654</v>
      </c>
      <c r="E181" s="7" t="n">
        <v>0</v>
      </c>
      <c r="F181" s="7" t="n">
        <v>72</v>
      </c>
      <c r="G181" s="7" t="n">
        <v>1005</v>
      </c>
      <c r="H181" s="7" t="n">
        <v>6932</v>
      </c>
    </row>
    <row r="182" customFormat="false" ht="15" hidden="false" customHeight="false" outlineLevel="0" collapsed="false">
      <c r="A182" s="8" t="s">
        <v>686</v>
      </c>
      <c r="B182" s="8" t="s">
        <v>687</v>
      </c>
      <c r="C182" s="8" t="s">
        <v>594</v>
      </c>
      <c r="D182" s="7" t="n">
        <v>9701</v>
      </c>
      <c r="E182" s="7" t="n">
        <v>13574</v>
      </c>
      <c r="F182" s="7" t="n">
        <v>0</v>
      </c>
      <c r="G182" s="7" t="n">
        <v>6359</v>
      </c>
      <c r="H182" s="7" t="n">
        <v>19381</v>
      </c>
    </row>
    <row r="183" customFormat="false" ht="15" hidden="false" customHeight="false" outlineLevel="0" collapsed="false">
      <c r="A183" s="8" t="s">
        <v>688</v>
      </c>
      <c r="B183" s="8" t="s">
        <v>689</v>
      </c>
      <c r="C183" s="8" t="s">
        <v>477</v>
      </c>
      <c r="D183" s="7" t="n">
        <v>2727</v>
      </c>
      <c r="E183" s="7" t="n">
        <v>700</v>
      </c>
      <c r="F183" s="7" t="n">
        <v>19</v>
      </c>
      <c r="G183" s="7" t="n">
        <v>1050</v>
      </c>
      <c r="H183" s="7" t="n">
        <v>1737</v>
      </c>
    </row>
    <row r="184" customFormat="false" ht="15" hidden="false" customHeight="false" outlineLevel="0" collapsed="false">
      <c r="A184" s="8" t="s">
        <v>690</v>
      </c>
      <c r="B184" s="8" t="s">
        <v>691</v>
      </c>
      <c r="C184" s="8" t="s">
        <v>495</v>
      </c>
      <c r="D184" s="7" t="n">
        <v>757</v>
      </c>
      <c r="E184" s="7" t="n">
        <v>5</v>
      </c>
      <c r="F184" s="7" t="n">
        <v>0</v>
      </c>
      <c r="G184" s="7" t="n">
        <v>244</v>
      </c>
      <c r="H184" s="7" t="n">
        <v>967</v>
      </c>
    </row>
    <row r="185" customFormat="false" ht="15" hidden="false" customHeight="false" outlineLevel="0" collapsed="false">
      <c r="A185" s="8" t="s">
        <v>692</v>
      </c>
      <c r="B185" s="8" t="s">
        <v>693</v>
      </c>
      <c r="C185" s="8" t="s">
        <v>479</v>
      </c>
      <c r="D185" s="7" t="n">
        <v>9244</v>
      </c>
      <c r="E185" s="7" t="n">
        <v>183</v>
      </c>
      <c r="F185" s="7" t="n">
        <v>6261</v>
      </c>
      <c r="G185" s="7" t="n">
        <v>3670</v>
      </c>
      <c r="H185" s="7" t="n">
        <v>13122</v>
      </c>
    </row>
    <row r="186" customFormat="false" ht="15" hidden="false" customHeight="false" outlineLevel="0" collapsed="false">
      <c r="A186" s="8" t="s">
        <v>694</v>
      </c>
      <c r="B186" s="8" t="s">
        <v>693</v>
      </c>
      <c r="C186" s="8" t="s">
        <v>479</v>
      </c>
      <c r="D186" s="7" t="n">
        <v>22513</v>
      </c>
      <c r="E186" s="7" t="n">
        <v>152</v>
      </c>
      <c r="F186" s="7" t="n">
        <v>873</v>
      </c>
      <c r="G186" s="7" t="n">
        <v>5444</v>
      </c>
      <c r="H186" s="7" t="n">
        <v>17014</v>
      </c>
    </row>
    <row r="187" customFormat="false" ht="15" hidden="false" customHeight="false" outlineLevel="0" collapsed="false">
      <c r="A187" s="8" t="s">
        <v>695</v>
      </c>
      <c r="B187" s="8" t="s">
        <v>696</v>
      </c>
      <c r="C187" s="8" t="s">
        <v>481</v>
      </c>
      <c r="D187" s="7" t="n">
        <v>6625</v>
      </c>
      <c r="E187" s="7" t="n">
        <v>2066</v>
      </c>
      <c r="F187" s="7" t="n">
        <v>0</v>
      </c>
      <c r="G187" s="7" t="n">
        <v>1778</v>
      </c>
      <c r="H187" s="7" t="n">
        <v>10416</v>
      </c>
    </row>
    <row r="188" customFormat="false" ht="15" hidden="false" customHeight="false" outlineLevel="0" collapsed="false">
      <c r="A188" s="8" t="s">
        <v>697</v>
      </c>
      <c r="B188" s="8" t="s">
        <v>698</v>
      </c>
      <c r="C188" s="8" t="s">
        <v>479</v>
      </c>
      <c r="D188" s="7" t="n">
        <v>43555</v>
      </c>
      <c r="E188" s="7" t="n">
        <v>22111</v>
      </c>
      <c r="F188" s="7" t="n">
        <v>97</v>
      </c>
      <c r="G188" s="7" t="n">
        <v>16811</v>
      </c>
      <c r="H188" s="7" t="n">
        <v>67713</v>
      </c>
    </row>
    <row r="189" customFormat="false" ht="15" hidden="false" customHeight="false" outlineLevel="0" collapsed="false">
      <c r="A189" s="8" t="s">
        <v>699</v>
      </c>
      <c r="B189" s="8" t="s">
        <v>700</v>
      </c>
      <c r="C189" s="8" t="s">
        <v>479</v>
      </c>
      <c r="D189" s="7" t="n">
        <v>12432</v>
      </c>
      <c r="E189" s="7" t="n">
        <v>0</v>
      </c>
      <c r="F189" s="7" t="n">
        <v>10875</v>
      </c>
      <c r="G189" s="7" t="n">
        <v>7462</v>
      </c>
      <c r="H189" s="7" t="n">
        <v>15244</v>
      </c>
    </row>
    <row r="190" customFormat="false" ht="15" hidden="false" customHeight="false" outlineLevel="0" collapsed="false">
      <c r="A190" s="8" t="s">
        <v>701</v>
      </c>
      <c r="B190" s="8" t="s">
        <v>700</v>
      </c>
      <c r="C190" s="8" t="s">
        <v>479</v>
      </c>
      <c r="D190" s="7" t="n">
        <v>15542</v>
      </c>
      <c r="E190" s="7" t="n">
        <v>0</v>
      </c>
      <c r="F190" s="7" t="n">
        <v>0</v>
      </c>
      <c r="G190" s="7" t="n">
        <v>4976</v>
      </c>
      <c r="H190" s="7" t="n">
        <v>17508</v>
      </c>
    </row>
    <row r="191" customFormat="false" ht="15" hidden="false" customHeight="false" outlineLevel="0" collapsed="false">
      <c r="A191" s="8" t="s">
        <v>702</v>
      </c>
      <c r="B191" s="8" t="s">
        <v>703</v>
      </c>
      <c r="C191" s="8" t="s">
        <v>479</v>
      </c>
      <c r="D191" s="7" t="n">
        <v>3477</v>
      </c>
      <c r="E191" s="7" t="n">
        <v>110</v>
      </c>
      <c r="F191" s="7" t="n">
        <v>6056</v>
      </c>
      <c r="G191" s="7" t="n">
        <v>3066</v>
      </c>
      <c r="H191" s="7" t="n">
        <v>1922</v>
      </c>
    </row>
    <row r="192" customFormat="false" ht="15" hidden="false" customHeight="false" outlineLevel="0" collapsed="false">
      <c r="A192" s="8" t="s">
        <v>704</v>
      </c>
      <c r="B192" s="8" t="s">
        <v>705</v>
      </c>
      <c r="C192" s="8" t="s">
        <v>491</v>
      </c>
      <c r="D192" s="7" t="n">
        <v>4038</v>
      </c>
      <c r="E192" s="7" t="n">
        <v>0</v>
      </c>
      <c r="F192" s="7" t="n">
        <v>0</v>
      </c>
      <c r="G192" s="7" t="n">
        <v>1289</v>
      </c>
      <c r="H192" s="7" t="n">
        <v>4145</v>
      </c>
    </row>
    <row r="193" customFormat="false" ht="15" hidden="false" customHeight="false" outlineLevel="0" collapsed="false">
      <c r="A193" s="8" t="s">
        <v>706</v>
      </c>
      <c r="B193" s="8" t="s">
        <v>707</v>
      </c>
      <c r="C193" s="8" t="s">
        <v>481</v>
      </c>
      <c r="D193" s="7" t="n">
        <v>89992</v>
      </c>
      <c r="E193" s="7" t="n">
        <v>57251</v>
      </c>
      <c r="F193" s="7" t="n">
        <v>101</v>
      </c>
      <c r="G193" s="7" t="n">
        <v>27252</v>
      </c>
      <c r="H193" s="7" t="n">
        <v>123306</v>
      </c>
    </row>
    <row r="194" customFormat="false" ht="15" hidden="false" customHeight="false" outlineLevel="0" collapsed="false">
      <c r="A194" s="8" t="s">
        <v>708</v>
      </c>
      <c r="B194" s="8" t="s">
        <v>709</v>
      </c>
      <c r="C194" s="8" t="s">
        <v>481</v>
      </c>
      <c r="D194" s="7" t="n">
        <v>47687</v>
      </c>
      <c r="E194" s="7" t="n">
        <v>10623</v>
      </c>
      <c r="F194" s="7" t="n">
        <v>0</v>
      </c>
      <c r="G194" s="7" t="n">
        <v>11698</v>
      </c>
      <c r="H194" s="7" t="n">
        <v>51420</v>
      </c>
    </row>
    <row r="195" customFormat="false" ht="15" hidden="false" customHeight="false" outlineLevel="0" collapsed="false">
      <c r="A195" s="8" t="s">
        <v>710</v>
      </c>
      <c r="B195" s="8" t="s">
        <v>711</v>
      </c>
      <c r="C195" s="8" t="s">
        <v>481</v>
      </c>
      <c r="D195" s="7" t="n">
        <v>43848</v>
      </c>
      <c r="E195" s="7" t="n">
        <v>36</v>
      </c>
      <c r="F195" s="7" t="n">
        <v>46</v>
      </c>
      <c r="G195" s="7" t="n">
        <v>9419</v>
      </c>
      <c r="H195" s="7" t="n">
        <v>40421</v>
      </c>
    </row>
    <row r="196" customFormat="false" ht="15" hidden="false" customHeight="false" outlineLevel="0" collapsed="false">
      <c r="A196" s="8" t="s">
        <v>712</v>
      </c>
      <c r="B196" s="8" t="s">
        <v>713</v>
      </c>
      <c r="C196" s="8" t="s">
        <v>495</v>
      </c>
      <c r="D196" s="7" t="n">
        <v>234</v>
      </c>
      <c r="E196" s="7" t="n">
        <v>94</v>
      </c>
      <c r="F196" s="7" t="n">
        <v>0</v>
      </c>
      <c r="G196" s="7" t="n">
        <v>63</v>
      </c>
      <c r="H196" s="7" t="n">
        <v>302</v>
      </c>
    </row>
    <row r="197" customFormat="false" ht="15" hidden="false" customHeight="false" outlineLevel="0" collapsed="false">
      <c r="A197" s="8" t="s">
        <v>714</v>
      </c>
      <c r="B197" s="8" t="s">
        <v>715</v>
      </c>
      <c r="C197" s="8" t="s">
        <v>497</v>
      </c>
      <c r="D197" s="7" t="n">
        <v>545</v>
      </c>
      <c r="E197" s="7" t="n">
        <v>0</v>
      </c>
      <c r="F197" s="7" t="n">
        <v>12</v>
      </c>
      <c r="G197" s="7" t="n">
        <v>119</v>
      </c>
      <c r="H197" s="7" t="n">
        <v>662</v>
      </c>
    </row>
    <row r="198" customFormat="false" ht="15" hidden="false" customHeight="false" outlineLevel="0" collapsed="false">
      <c r="A198" s="8" t="s">
        <v>716</v>
      </c>
      <c r="B198" s="8" t="s">
        <v>717</v>
      </c>
      <c r="C198" s="8" t="s">
        <v>539</v>
      </c>
      <c r="D198" s="7" t="n">
        <v>1551</v>
      </c>
      <c r="E198" s="7" t="n">
        <v>211</v>
      </c>
      <c r="F198" s="7" t="n">
        <v>0</v>
      </c>
      <c r="G198" s="7" t="n">
        <v>360</v>
      </c>
      <c r="H198" s="7" t="n">
        <v>1571</v>
      </c>
    </row>
    <row r="199" customFormat="false" ht="15" hidden="false" customHeight="false" outlineLevel="0" collapsed="false">
      <c r="A199" s="8" t="s">
        <v>718</v>
      </c>
      <c r="B199" s="8" t="s">
        <v>719</v>
      </c>
      <c r="C199" s="8" t="s">
        <v>483</v>
      </c>
      <c r="D199" s="7" t="n">
        <v>148315</v>
      </c>
      <c r="E199" s="7" t="n">
        <v>689</v>
      </c>
      <c r="F199" s="7" t="n">
        <v>0</v>
      </c>
      <c r="G199" s="7" t="n">
        <v>12656</v>
      </c>
      <c r="H199" s="7" t="n">
        <v>0</v>
      </c>
    </row>
    <row r="200" customFormat="false" ht="15" hidden="false" customHeight="false" outlineLevel="0" collapsed="false">
      <c r="A200" s="8" t="s">
        <v>720</v>
      </c>
      <c r="B200" s="8" t="s">
        <v>721</v>
      </c>
      <c r="C200" s="8" t="s">
        <v>543</v>
      </c>
      <c r="D200" s="7" t="n">
        <v>6539</v>
      </c>
      <c r="E200" s="7" t="n">
        <v>11</v>
      </c>
      <c r="F200" s="7" t="n">
        <v>0</v>
      </c>
      <c r="G200" s="7" t="n">
        <v>1458</v>
      </c>
      <c r="H200" s="7" t="n">
        <v>7025</v>
      </c>
    </row>
    <row r="201" customFormat="false" ht="15" hidden="false" customHeight="false" outlineLevel="0" collapsed="false">
      <c r="A201" s="8" t="s">
        <v>722</v>
      </c>
      <c r="B201" s="8" t="s">
        <v>723</v>
      </c>
      <c r="C201" s="8" t="s">
        <v>491</v>
      </c>
      <c r="D201" s="7" t="n">
        <v>107721</v>
      </c>
      <c r="E201" s="7" t="n">
        <v>6754</v>
      </c>
      <c r="F201" s="7" t="n">
        <v>0</v>
      </c>
      <c r="G201" s="7" t="n">
        <v>25003</v>
      </c>
      <c r="H201" s="7" t="n">
        <v>120956</v>
      </c>
    </row>
    <row r="202" customFormat="false" ht="15" hidden="false" customHeight="false" outlineLevel="0" collapsed="false">
      <c r="A202" s="8" t="s">
        <v>724</v>
      </c>
      <c r="B202" s="8" t="s">
        <v>725</v>
      </c>
      <c r="C202" s="8" t="s">
        <v>594</v>
      </c>
      <c r="D202" s="7" t="n">
        <v>10762</v>
      </c>
      <c r="E202" s="7" t="n">
        <v>8287</v>
      </c>
      <c r="F202" s="7" t="n">
        <v>71</v>
      </c>
      <c r="G202" s="7" t="n">
        <v>5188</v>
      </c>
      <c r="H202" s="7" t="n">
        <v>17885</v>
      </c>
    </row>
    <row r="203" customFormat="false" ht="15" hidden="false" customHeight="false" outlineLevel="0" collapsed="false">
      <c r="A203" s="8" t="s">
        <v>726</v>
      </c>
      <c r="B203" s="8" t="s">
        <v>727</v>
      </c>
      <c r="C203" s="8" t="s">
        <v>493</v>
      </c>
      <c r="D203" s="7" t="n">
        <v>29526</v>
      </c>
      <c r="E203" s="7" t="n">
        <v>22824</v>
      </c>
      <c r="F203" s="7" t="n">
        <v>243</v>
      </c>
      <c r="G203" s="7" t="n">
        <v>21066</v>
      </c>
      <c r="H203" s="7" t="n">
        <v>56617</v>
      </c>
    </row>
    <row r="204" customFormat="false" ht="15" hidden="false" customHeight="false" outlineLevel="0" collapsed="false">
      <c r="A204" s="8" t="s">
        <v>728</v>
      </c>
      <c r="B204" s="8" t="s">
        <v>729</v>
      </c>
      <c r="C204" s="8" t="s">
        <v>493</v>
      </c>
      <c r="D204" s="7" t="n">
        <v>4184</v>
      </c>
      <c r="E204" s="7" t="n">
        <v>121</v>
      </c>
      <c r="F204" s="7" t="n">
        <v>0</v>
      </c>
      <c r="G204" s="7" t="n">
        <v>2748</v>
      </c>
      <c r="H204" s="7" t="n">
        <v>5429</v>
      </c>
    </row>
    <row r="205" customFormat="false" ht="15" hidden="false" customHeight="false" outlineLevel="0" collapsed="false">
      <c r="A205" s="8" t="s">
        <v>730</v>
      </c>
      <c r="B205" s="8" t="s">
        <v>731</v>
      </c>
      <c r="C205" s="8" t="s">
        <v>594</v>
      </c>
      <c r="D205" s="7" t="n">
        <v>6307</v>
      </c>
      <c r="E205" s="7" t="n">
        <v>13373</v>
      </c>
      <c r="F205" s="7" t="n">
        <v>36</v>
      </c>
      <c r="G205" s="7" t="n">
        <v>7658</v>
      </c>
      <c r="H205" s="7" t="n">
        <v>18460</v>
      </c>
    </row>
    <row r="206" customFormat="false" ht="15" hidden="false" customHeight="false" outlineLevel="0" collapsed="false">
      <c r="A206" s="8" t="s">
        <v>732</v>
      </c>
      <c r="B206" s="8" t="s">
        <v>733</v>
      </c>
      <c r="C206" s="8" t="s">
        <v>594</v>
      </c>
      <c r="D206" s="7" t="n">
        <v>12942</v>
      </c>
      <c r="E206" s="7" t="n">
        <v>12081</v>
      </c>
      <c r="F206" s="7" t="n">
        <v>51</v>
      </c>
      <c r="G206" s="7" t="n">
        <v>8215</v>
      </c>
      <c r="H206" s="7" t="n">
        <v>24924</v>
      </c>
    </row>
    <row r="207" customFormat="false" ht="15" hidden="false" customHeight="false" outlineLevel="0" collapsed="false">
      <c r="A207" s="8" t="s">
        <v>734</v>
      </c>
      <c r="B207" s="8" t="s">
        <v>735</v>
      </c>
      <c r="C207" s="8" t="s">
        <v>485</v>
      </c>
      <c r="D207" s="7" t="n">
        <v>43256</v>
      </c>
      <c r="E207" s="7" t="n">
        <v>0</v>
      </c>
      <c r="F207" s="7" t="n">
        <v>362</v>
      </c>
      <c r="G207" s="7" t="n">
        <v>14158</v>
      </c>
      <c r="H207" s="7" t="n">
        <v>56601</v>
      </c>
    </row>
    <row r="208" customFormat="false" ht="15" hidden="false" customHeight="false" outlineLevel="0" collapsed="false">
      <c r="A208" s="8" t="s">
        <v>736</v>
      </c>
      <c r="B208" s="8" t="s">
        <v>737</v>
      </c>
      <c r="C208" s="8" t="s">
        <v>594</v>
      </c>
      <c r="D208" s="7" t="n">
        <v>12594</v>
      </c>
      <c r="E208" s="7" t="n">
        <v>10323</v>
      </c>
      <c r="F208" s="7" t="n">
        <v>0</v>
      </c>
      <c r="G208" s="7" t="n">
        <v>6281</v>
      </c>
      <c r="H208" s="7" t="n">
        <v>23373</v>
      </c>
    </row>
    <row r="209" customFormat="false" ht="15" hidden="false" customHeight="false" outlineLevel="0" collapsed="false">
      <c r="A209" s="8" t="s">
        <v>738</v>
      </c>
      <c r="B209" s="8" t="s">
        <v>739</v>
      </c>
      <c r="C209" s="8" t="s">
        <v>497</v>
      </c>
      <c r="D209" s="7" t="n">
        <v>268271</v>
      </c>
      <c r="E209" s="7" t="n">
        <v>0</v>
      </c>
      <c r="F209" s="7" t="n">
        <v>0</v>
      </c>
      <c r="G209" s="7" t="n">
        <v>60552</v>
      </c>
      <c r="H209" s="7" t="n">
        <v>316498</v>
      </c>
    </row>
    <row r="210" customFormat="false" ht="15" hidden="false" customHeight="false" outlineLevel="0" collapsed="false">
      <c r="A210" s="8" t="s">
        <v>740</v>
      </c>
      <c r="B210" s="8" t="s">
        <v>741</v>
      </c>
      <c r="C210" s="8" t="s">
        <v>497</v>
      </c>
      <c r="D210" s="7" t="n">
        <v>76923</v>
      </c>
      <c r="E210" s="7" t="n">
        <v>9771</v>
      </c>
      <c r="F210" s="7" t="n">
        <v>0</v>
      </c>
      <c r="G210" s="7" t="n">
        <v>61601</v>
      </c>
      <c r="H210" s="7" t="n">
        <v>93673</v>
      </c>
    </row>
    <row r="211" customFormat="false" ht="15" hidden="false" customHeight="false" outlineLevel="0" collapsed="false">
      <c r="A211" s="8" t="s">
        <v>742</v>
      </c>
      <c r="B211" s="8" t="s">
        <v>733</v>
      </c>
      <c r="C211" s="8" t="s">
        <v>594</v>
      </c>
      <c r="D211" s="7" t="n">
        <v>2495</v>
      </c>
      <c r="E211" s="7" t="n">
        <v>2771</v>
      </c>
      <c r="F211" s="7" t="n">
        <v>0</v>
      </c>
      <c r="G211" s="7" t="n">
        <v>2908</v>
      </c>
      <c r="H211" s="7" t="n">
        <v>4821</v>
      </c>
    </row>
    <row r="212" customFormat="false" ht="15" hidden="false" customHeight="false" outlineLevel="0" collapsed="false">
      <c r="A212" s="8" t="s">
        <v>743</v>
      </c>
      <c r="B212" s="8" t="s">
        <v>744</v>
      </c>
      <c r="C212" s="8" t="s">
        <v>479</v>
      </c>
      <c r="D212" s="7" t="n">
        <v>22344</v>
      </c>
      <c r="E212" s="7" t="n">
        <v>2959</v>
      </c>
      <c r="F212" s="7" t="n">
        <v>0</v>
      </c>
      <c r="G212" s="7" t="n">
        <v>13718</v>
      </c>
      <c r="H212" s="7" t="n">
        <v>27300</v>
      </c>
    </row>
    <row r="213" customFormat="false" ht="15" hidden="false" customHeight="false" outlineLevel="0" collapsed="false">
      <c r="A213" s="8" t="s">
        <v>745</v>
      </c>
      <c r="B213" s="8" t="s">
        <v>746</v>
      </c>
      <c r="C213" s="8" t="s">
        <v>497</v>
      </c>
      <c r="D213" s="7" t="n">
        <v>82</v>
      </c>
      <c r="E213" s="7" t="n">
        <v>110</v>
      </c>
      <c r="F213" s="7" t="n">
        <v>2232</v>
      </c>
      <c r="G213" s="7" t="n">
        <v>284</v>
      </c>
      <c r="H213" s="7" t="n">
        <v>685</v>
      </c>
    </row>
    <row r="214" customFormat="false" ht="15" hidden="false" customHeight="false" outlineLevel="0" collapsed="false">
      <c r="A214" s="8" t="s">
        <v>747</v>
      </c>
      <c r="B214" s="8" t="s">
        <v>748</v>
      </c>
      <c r="C214" s="8" t="s">
        <v>499</v>
      </c>
      <c r="D214" s="7" t="n">
        <v>32663</v>
      </c>
      <c r="E214" s="7" t="n">
        <v>573</v>
      </c>
      <c r="F214" s="7" t="n">
        <v>6</v>
      </c>
      <c r="G214" s="7" t="n">
        <v>17678</v>
      </c>
      <c r="H214" s="7" t="n">
        <v>48830</v>
      </c>
    </row>
    <row r="215" customFormat="false" ht="15" hidden="false" customHeight="false" outlineLevel="0" collapsed="false">
      <c r="A215" s="8" t="s">
        <v>749</v>
      </c>
      <c r="B215" s="8" t="s">
        <v>750</v>
      </c>
      <c r="C215" s="8" t="s">
        <v>499</v>
      </c>
      <c r="D215" s="7" t="n">
        <v>16081</v>
      </c>
      <c r="E215" s="7" t="n">
        <v>3788</v>
      </c>
      <c r="F215" s="7" t="n">
        <v>0</v>
      </c>
      <c r="G215" s="7" t="n">
        <v>6631</v>
      </c>
      <c r="H215" s="7" t="n">
        <v>25694</v>
      </c>
    </row>
    <row r="216" customFormat="false" ht="15" hidden="false" customHeight="false" outlineLevel="0" collapsed="false">
      <c r="A216" s="8" t="s">
        <v>751</v>
      </c>
      <c r="B216" s="8" t="s">
        <v>752</v>
      </c>
      <c r="C216" s="8" t="s">
        <v>501</v>
      </c>
      <c r="D216" s="7" t="n">
        <v>41509</v>
      </c>
      <c r="E216" s="7" t="n">
        <v>764</v>
      </c>
      <c r="F216" s="7" t="n">
        <v>24316</v>
      </c>
      <c r="G216" s="7" t="n">
        <v>31945</v>
      </c>
      <c r="H216" s="7" t="n">
        <v>36999</v>
      </c>
    </row>
    <row r="217" customFormat="false" ht="15" hidden="false" customHeight="false" outlineLevel="0" collapsed="false">
      <c r="A217" s="8" t="s">
        <v>753</v>
      </c>
      <c r="B217" s="8" t="s">
        <v>687</v>
      </c>
      <c r="C217" s="8" t="s">
        <v>594</v>
      </c>
      <c r="D217" s="7" t="n">
        <v>9878</v>
      </c>
      <c r="E217" s="7" t="n">
        <v>15390</v>
      </c>
      <c r="F217" s="7" t="n">
        <v>0</v>
      </c>
      <c r="G217" s="7" t="n">
        <v>9154</v>
      </c>
      <c r="H217" s="7" t="n">
        <v>12786</v>
      </c>
    </row>
    <row r="218" customFormat="false" ht="15" hidden="false" customHeight="false" outlineLevel="0" collapsed="false">
      <c r="A218" s="8" t="s">
        <v>754</v>
      </c>
      <c r="B218" s="8" t="s">
        <v>755</v>
      </c>
      <c r="C218" s="8" t="s">
        <v>501</v>
      </c>
      <c r="D218" s="7" t="n">
        <v>85655</v>
      </c>
      <c r="E218" s="7" t="n">
        <v>16201</v>
      </c>
      <c r="F218" s="7" t="n">
        <v>341</v>
      </c>
      <c r="G218" s="7" t="n">
        <v>35825</v>
      </c>
      <c r="H218" s="7" t="n">
        <v>116026</v>
      </c>
    </row>
    <row r="219" customFormat="false" ht="15" hidden="false" customHeight="false" outlineLevel="0" collapsed="false">
      <c r="A219" s="8" t="s">
        <v>756</v>
      </c>
      <c r="B219" s="8" t="s">
        <v>757</v>
      </c>
      <c r="C219" s="8" t="s">
        <v>503</v>
      </c>
      <c r="D219" s="7" t="n">
        <v>11173</v>
      </c>
      <c r="E219" s="7" t="n">
        <v>7164</v>
      </c>
      <c r="F219" s="7" t="n">
        <v>176</v>
      </c>
      <c r="G219" s="7" t="n">
        <v>5516</v>
      </c>
      <c r="H219" s="7" t="n">
        <v>18781</v>
      </c>
    </row>
    <row r="220" customFormat="false" ht="15" hidden="false" customHeight="false" outlineLevel="0" collapsed="false">
      <c r="A220" s="8" t="s">
        <v>758</v>
      </c>
      <c r="B220" s="8" t="s">
        <v>759</v>
      </c>
      <c r="C220" s="8" t="s">
        <v>501</v>
      </c>
      <c r="D220" s="7" t="n">
        <v>2801</v>
      </c>
      <c r="E220" s="7" t="n">
        <v>0</v>
      </c>
      <c r="F220" s="7" t="n">
        <v>0</v>
      </c>
      <c r="G220" s="7" t="n">
        <v>1151</v>
      </c>
      <c r="H220" s="7" t="n">
        <v>2700</v>
      </c>
    </row>
    <row r="221" customFormat="false" ht="15" hidden="false" customHeight="false" outlineLevel="0" collapsed="false">
      <c r="A221" s="8" t="s">
        <v>760</v>
      </c>
      <c r="B221" s="8" t="s">
        <v>761</v>
      </c>
      <c r="C221" s="8" t="s">
        <v>501</v>
      </c>
      <c r="D221" s="7" t="n">
        <v>12743</v>
      </c>
      <c r="E221" s="7" t="n">
        <v>0</v>
      </c>
      <c r="F221" s="7" t="n">
        <v>0</v>
      </c>
      <c r="G221" s="7" t="n">
        <v>5235</v>
      </c>
      <c r="H221" s="7" t="n">
        <v>14730</v>
      </c>
    </row>
    <row r="222" customFormat="false" ht="15" hidden="false" customHeight="false" outlineLevel="0" collapsed="false">
      <c r="A222" s="8" t="s">
        <v>762</v>
      </c>
      <c r="B222" s="8" t="s">
        <v>687</v>
      </c>
      <c r="C222" s="8" t="s">
        <v>594</v>
      </c>
      <c r="D222" s="7" t="n">
        <v>1325</v>
      </c>
      <c r="E222" s="7" t="n">
        <v>2050</v>
      </c>
      <c r="F222" s="7" t="n">
        <v>0</v>
      </c>
      <c r="G222" s="7" t="n">
        <v>565</v>
      </c>
      <c r="H222" s="7" t="n">
        <v>0</v>
      </c>
    </row>
    <row r="223" customFormat="false" ht="15" hidden="false" customHeight="false" outlineLevel="0" collapsed="false">
      <c r="A223" s="8" t="s">
        <v>763</v>
      </c>
      <c r="B223" s="8" t="s">
        <v>764</v>
      </c>
      <c r="C223" s="8" t="s">
        <v>505</v>
      </c>
      <c r="D223" s="7" t="n">
        <v>27169</v>
      </c>
      <c r="E223" s="7" t="n">
        <v>3559</v>
      </c>
      <c r="F223" s="7" t="n">
        <v>0</v>
      </c>
      <c r="G223" s="7" t="n">
        <v>6559</v>
      </c>
      <c r="H223" s="7" t="n">
        <v>0</v>
      </c>
    </row>
    <row r="224" customFormat="false" ht="15" hidden="false" customHeight="false" outlineLevel="0" collapsed="false">
      <c r="A224" s="8" t="s">
        <v>765</v>
      </c>
      <c r="B224" s="8" t="s">
        <v>766</v>
      </c>
      <c r="C224" s="8" t="s">
        <v>505</v>
      </c>
      <c r="D224" s="7" t="n">
        <v>21065</v>
      </c>
      <c r="E224" s="7" t="n">
        <v>1332</v>
      </c>
      <c r="F224" s="7" t="n">
        <v>133</v>
      </c>
      <c r="G224" s="7" t="n">
        <v>4930</v>
      </c>
      <c r="H224" s="7" t="n">
        <v>0</v>
      </c>
    </row>
    <row r="225" customFormat="false" ht="15" hidden="false" customHeight="false" outlineLevel="0" collapsed="false">
      <c r="A225" s="8" t="s">
        <v>767</v>
      </c>
      <c r="B225" s="8" t="s">
        <v>768</v>
      </c>
      <c r="C225" s="8" t="s">
        <v>594</v>
      </c>
      <c r="D225" s="7" t="n">
        <v>12752</v>
      </c>
      <c r="E225" s="7" t="n">
        <v>16219</v>
      </c>
      <c r="F225" s="7" t="n">
        <v>141</v>
      </c>
      <c r="G225" s="7" t="n">
        <v>10460</v>
      </c>
      <c r="H225" s="7" t="n">
        <v>16645</v>
      </c>
    </row>
    <row r="226" customFormat="false" ht="15" hidden="false" customHeight="false" outlineLevel="0" collapsed="false">
      <c r="A226" s="8" t="s">
        <v>769</v>
      </c>
      <c r="B226" s="8" t="s">
        <v>770</v>
      </c>
      <c r="C226" s="8" t="s">
        <v>509</v>
      </c>
      <c r="D226" s="7" t="n">
        <v>25730</v>
      </c>
      <c r="E226" s="7" t="n">
        <v>1823</v>
      </c>
      <c r="F226" s="7" t="n">
        <v>494</v>
      </c>
      <c r="G226" s="7" t="n">
        <v>2690</v>
      </c>
      <c r="H226" s="7" t="n">
        <v>15066</v>
      </c>
    </row>
    <row r="227" customFormat="false" ht="15" hidden="false" customHeight="false" outlineLevel="0" collapsed="false">
      <c r="A227" s="8" t="s">
        <v>771</v>
      </c>
      <c r="B227" s="8" t="s">
        <v>687</v>
      </c>
      <c r="C227" s="8" t="s">
        <v>594</v>
      </c>
      <c r="D227" s="7" t="n">
        <v>255006</v>
      </c>
      <c r="E227" s="7" t="n">
        <v>437515</v>
      </c>
      <c r="F227" s="7" t="n">
        <v>0</v>
      </c>
      <c r="G227" s="7" t="n">
        <v>171680</v>
      </c>
      <c r="H227" s="7" t="n">
        <v>214954</v>
      </c>
    </row>
    <row r="228" customFormat="false" ht="15" hidden="false" customHeight="false" outlineLevel="0" collapsed="false">
      <c r="A228" s="8" t="s">
        <v>772</v>
      </c>
      <c r="B228" s="8" t="s">
        <v>773</v>
      </c>
      <c r="C228" s="8" t="s">
        <v>594</v>
      </c>
      <c r="D228" s="7" t="n">
        <v>71080</v>
      </c>
      <c r="E228" s="7" t="n">
        <v>84115</v>
      </c>
      <c r="F228" s="7" t="n">
        <v>213</v>
      </c>
      <c r="G228" s="7" t="n">
        <v>37133</v>
      </c>
      <c r="H228" s="7" t="n">
        <v>138505</v>
      </c>
    </row>
    <row r="229" customFormat="false" ht="15" hidden="false" customHeight="false" outlineLevel="0" collapsed="false">
      <c r="A229" s="8" t="s">
        <v>774</v>
      </c>
      <c r="B229" s="8" t="s">
        <v>775</v>
      </c>
      <c r="C229" s="8" t="s">
        <v>513</v>
      </c>
      <c r="D229" s="7" t="n">
        <v>22381</v>
      </c>
      <c r="E229" s="7" t="n">
        <v>9671</v>
      </c>
      <c r="F229" s="7" t="n">
        <v>289</v>
      </c>
      <c r="G229" s="7" t="n">
        <v>9586</v>
      </c>
      <c r="H229" s="7" t="n">
        <v>27194</v>
      </c>
    </row>
    <row r="230" customFormat="false" ht="15" hidden="false" customHeight="false" outlineLevel="0" collapsed="false">
      <c r="A230" s="8" t="s">
        <v>776</v>
      </c>
      <c r="B230" s="8" t="s">
        <v>777</v>
      </c>
      <c r="C230" s="8" t="s">
        <v>594</v>
      </c>
      <c r="D230" s="7" t="n">
        <v>102023</v>
      </c>
      <c r="E230" s="7" t="n">
        <v>118732</v>
      </c>
      <c r="F230" s="7" t="n">
        <v>14461</v>
      </c>
      <c r="G230" s="7" t="n">
        <v>60266</v>
      </c>
      <c r="H230" s="7" t="n">
        <v>4356</v>
      </c>
    </row>
    <row r="231" customFormat="false" ht="15" hidden="false" customHeight="false" outlineLevel="0" collapsed="false">
      <c r="A231" s="8" t="s">
        <v>778</v>
      </c>
      <c r="B231" s="8" t="s">
        <v>779</v>
      </c>
      <c r="C231" s="8" t="s">
        <v>594</v>
      </c>
      <c r="D231" s="7" t="n">
        <v>42613</v>
      </c>
      <c r="E231" s="7" t="n">
        <v>58361</v>
      </c>
      <c r="F231" s="7" t="n">
        <v>3235</v>
      </c>
      <c r="G231" s="7" t="n">
        <v>30425</v>
      </c>
      <c r="H231" s="7" t="n">
        <v>31003</v>
      </c>
    </row>
    <row r="232" customFormat="false" ht="15" hidden="false" customHeight="false" outlineLevel="0" collapsed="false">
      <c r="A232" s="8" t="s">
        <v>780</v>
      </c>
      <c r="B232" s="8" t="s">
        <v>781</v>
      </c>
      <c r="C232" s="8" t="s">
        <v>519</v>
      </c>
      <c r="D232" s="7" t="n">
        <v>257903</v>
      </c>
      <c r="E232" s="7" t="n">
        <v>64844</v>
      </c>
      <c r="F232" s="7" t="n">
        <v>1</v>
      </c>
      <c r="G232" s="7" t="n">
        <v>35225</v>
      </c>
      <c r="H232" s="7" t="n">
        <v>0</v>
      </c>
    </row>
    <row r="233" customFormat="false" ht="15" hidden="false" customHeight="false" outlineLevel="0" collapsed="false">
      <c r="A233" s="8" t="s">
        <v>782</v>
      </c>
      <c r="B233" s="8" t="s">
        <v>783</v>
      </c>
      <c r="C233" s="8" t="s">
        <v>519</v>
      </c>
      <c r="D233" s="7" t="n">
        <v>17932</v>
      </c>
      <c r="E233" s="7" t="n">
        <v>13995</v>
      </c>
      <c r="F233" s="7" t="n">
        <v>204</v>
      </c>
      <c r="G233" s="7" t="n">
        <v>4905</v>
      </c>
      <c r="H233" s="7" t="n">
        <v>5206</v>
      </c>
    </row>
    <row r="234" customFormat="false" ht="15" hidden="false" customHeight="false" outlineLevel="0" collapsed="false">
      <c r="A234" s="8" t="s">
        <v>784</v>
      </c>
      <c r="B234" s="8" t="s">
        <v>785</v>
      </c>
      <c r="C234" s="8" t="s">
        <v>521</v>
      </c>
      <c r="D234" s="7" t="n">
        <v>249327</v>
      </c>
      <c r="E234" s="7" t="n">
        <v>124109</v>
      </c>
      <c r="F234" s="7" t="n">
        <v>16026</v>
      </c>
      <c r="G234" s="7" t="n">
        <v>55406</v>
      </c>
      <c r="H234" s="7" t="n">
        <v>9135</v>
      </c>
    </row>
    <row r="235" customFormat="false" ht="15" hidden="false" customHeight="false" outlineLevel="0" collapsed="false">
      <c r="A235" s="8" t="s">
        <v>786</v>
      </c>
      <c r="B235" s="8" t="s">
        <v>731</v>
      </c>
      <c r="C235" s="8" t="s">
        <v>594</v>
      </c>
      <c r="D235" s="7" t="n">
        <v>222114</v>
      </c>
      <c r="E235" s="7" t="n">
        <v>325345</v>
      </c>
      <c r="F235" s="7" t="n">
        <v>2211</v>
      </c>
      <c r="G235" s="7" t="n">
        <v>141983</v>
      </c>
      <c r="H235" s="7" t="n">
        <v>58731</v>
      </c>
    </row>
    <row r="236" customFormat="false" ht="15" hidden="false" customHeight="false" outlineLevel="0" collapsed="false">
      <c r="A236" s="8" t="s">
        <v>787</v>
      </c>
      <c r="B236" s="8" t="s">
        <v>788</v>
      </c>
      <c r="C236" s="8" t="s">
        <v>529</v>
      </c>
      <c r="D236" s="7" t="n">
        <v>6998</v>
      </c>
      <c r="E236" s="7" t="n">
        <v>0</v>
      </c>
      <c r="F236" s="7" t="n">
        <v>0</v>
      </c>
      <c r="G236" s="7" t="n">
        <v>0</v>
      </c>
      <c r="H236" s="7" t="n">
        <v>0</v>
      </c>
    </row>
    <row r="237" customFormat="false" ht="15" hidden="false" customHeight="false" outlineLevel="0" collapsed="false">
      <c r="A237" s="8" t="s">
        <v>789</v>
      </c>
      <c r="B237" s="8" t="s">
        <v>790</v>
      </c>
      <c r="C237" s="8" t="s">
        <v>525</v>
      </c>
      <c r="D237" s="7" t="n">
        <v>82232</v>
      </c>
      <c r="E237" s="7" t="n">
        <v>34742</v>
      </c>
      <c r="F237" s="7" t="n">
        <v>10225</v>
      </c>
      <c r="G237" s="7" t="n">
        <v>1437</v>
      </c>
      <c r="H237" s="7" t="n">
        <v>34415</v>
      </c>
    </row>
    <row r="238" customFormat="false" ht="15" hidden="false" customHeight="false" outlineLevel="0" collapsed="false">
      <c r="A238" s="8" t="s">
        <v>791</v>
      </c>
      <c r="B238" s="8" t="s">
        <v>792</v>
      </c>
      <c r="C238" s="8" t="s">
        <v>594</v>
      </c>
      <c r="D238" s="7" t="n">
        <v>80567</v>
      </c>
      <c r="E238" s="7" t="n">
        <v>115376</v>
      </c>
      <c r="F238" s="7" t="n">
        <v>1728</v>
      </c>
      <c r="G238" s="7" t="n">
        <v>116190</v>
      </c>
      <c r="H238" s="7" t="n">
        <v>123414</v>
      </c>
    </row>
    <row r="239" customFormat="false" ht="15" hidden="false" customHeight="false" outlineLevel="0" collapsed="false">
      <c r="A239" s="8" t="s">
        <v>793</v>
      </c>
      <c r="B239" s="8" t="s">
        <v>794</v>
      </c>
      <c r="C239" s="8" t="s">
        <v>529</v>
      </c>
      <c r="D239" s="7" t="n">
        <v>14771</v>
      </c>
      <c r="E239" s="7" t="n">
        <v>5329</v>
      </c>
      <c r="F239" s="7" t="n">
        <v>1283</v>
      </c>
      <c r="G239" s="7" t="n">
        <v>4021</v>
      </c>
      <c r="H239" s="7" t="n">
        <v>18928</v>
      </c>
    </row>
    <row r="240" customFormat="false" ht="15" hidden="false" customHeight="false" outlineLevel="0" collapsed="false">
      <c r="A240" s="8" t="s">
        <v>795</v>
      </c>
      <c r="B240" s="8" t="s">
        <v>796</v>
      </c>
      <c r="C240" s="8" t="s">
        <v>531</v>
      </c>
      <c r="D240" s="7" t="n">
        <v>209385</v>
      </c>
      <c r="E240" s="7" t="n">
        <v>25305</v>
      </c>
      <c r="F240" s="7" t="n">
        <v>0</v>
      </c>
      <c r="G240" s="7" t="n">
        <v>16571</v>
      </c>
      <c r="H240" s="7" t="n">
        <v>54921</v>
      </c>
    </row>
    <row r="241" customFormat="false" ht="15" hidden="false" customHeight="false" outlineLevel="0" collapsed="false">
      <c r="A241" s="8" t="s">
        <v>797</v>
      </c>
      <c r="B241" s="8" t="s">
        <v>798</v>
      </c>
      <c r="C241" s="8" t="s">
        <v>533</v>
      </c>
      <c r="D241" s="7" t="n">
        <v>39677</v>
      </c>
      <c r="E241" s="7" t="n">
        <v>0</v>
      </c>
      <c r="F241" s="7" t="n">
        <v>0</v>
      </c>
      <c r="G241" s="7" t="n">
        <v>4682</v>
      </c>
      <c r="H241" s="7" t="n">
        <v>24280</v>
      </c>
    </row>
    <row r="242" customFormat="false" ht="15" hidden="false" customHeight="false" outlineLevel="0" collapsed="false">
      <c r="A242" s="8" t="s">
        <v>799</v>
      </c>
      <c r="B242" s="8" t="s">
        <v>800</v>
      </c>
      <c r="C242" s="8" t="s">
        <v>535</v>
      </c>
      <c r="D242" s="7" t="n">
        <v>840267</v>
      </c>
      <c r="E242" s="7" t="n">
        <v>24051</v>
      </c>
      <c r="F242" s="7" t="n">
        <v>59504</v>
      </c>
      <c r="G242" s="7" t="n">
        <v>42250</v>
      </c>
      <c r="H242" s="7" t="n">
        <v>9009</v>
      </c>
    </row>
    <row r="243" customFormat="false" ht="15" hidden="false" customHeight="false" outlineLevel="0" collapsed="false">
      <c r="A243" s="8" t="s">
        <v>801</v>
      </c>
      <c r="B243" s="8" t="s">
        <v>802</v>
      </c>
      <c r="C243" s="8" t="s">
        <v>594</v>
      </c>
      <c r="D243" s="7" t="n">
        <v>8405</v>
      </c>
      <c r="E243" s="7" t="n">
        <v>8492</v>
      </c>
      <c r="F243" s="7" t="n">
        <v>198</v>
      </c>
      <c r="G243" s="7" t="n">
        <v>12992</v>
      </c>
      <c r="H243" s="7" t="n">
        <v>25129</v>
      </c>
    </row>
    <row r="244" customFormat="false" ht="15" hidden="false" customHeight="false" outlineLevel="0" collapsed="false">
      <c r="A244" s="8" t="s">
        <v>803</v>
      </c>
      <c r="B244" s="8" t="s">
        <v>804</v>
      </c>
      <c r="C244" s="8" t="s">
        <v>537</v>
      </c>
      <c r="D244" s="7" t="n">
        <v>1171831</v>
      </c>
      <c r="E244" s="7" t="n">
        <v>0</v>
      </c>
      <c r="F244" s="7" t="n">
        <v>0</v>
      </c>
      <c r="G244" s="7" t="n">
        <v>-1163557</v>
      </c>
      <c r="H244" s="7" t="n">
        <v>0</v>
      </c>
    </row>
    <row r="245" customFormat="false" ht="15" hidden="false" customHeight="false" outlineLevel="0" collapsed="false">
      <c r="A245" s="8" t="s">
        <v>805</v>
      </c>
      <c r="B245" s="8" t="s">
        <v>806</v>
      </c>
      <c r="C245" s="8" t="s">
        <v>539</v>
      </c>
      <c r="D245" s="7" t="n">
        <v>113132</v>
      </c>
      <c r="E245" s="7" t="n">
        <v>24256</v>
      </c>
      <c r="F245" s="7" t="n">
        <v>784</v>
      </c>
      <c r="G245" s="7" t="n">
        <v>1445</v>
      </c>
      <c r="H245" s="7" t="n">
        <v>42826</v>
      </c>
    </row>
    <row r="246" customFormat="false" ht="15" hidden="false" customHeight="false" outlineLevel="0" collapsed="false">
      <c r="A246" s="8" t="s">
        <v>807</v>
      </c>
      <c r="B246" s="8" t="s">
        <v>808</v>
      </c>
      <c r="C246" s="8" t="s">
        <v>541</v>
      </c>
      <c r="D246" s="7" t="n">
        <v>19721</v>
      </c>
      <c r="E246" s="7" t="n">
        <v>0</v>
      </c>
      <c r="F246" s="7" t="n">
        <v>0</v>
      </c>
      <c r="G246" s="7" t="n">
        <v>1595</v>
      </c>
      <c r="H246" s="7" t="n">
        <v>329</v>
      </c>
    </row>
    <row r="247" customFormat="false" ht="15" hidden="false" customHeight="false" outlineLevel="0" collapsed="false">
      <c r="A247" s="8" t="s">
        <v>809</v>
      </c>
      <c r="B247" s="8" t="s">
        <v>810</v>
      </c>
      <c r="C247" s="8" t="s">
        <v>543</v>
      </c>
      <c r="D247" s="7" t="n">
        <v>382055</v>
      </c>
      <c r="E247" s="7" t="n">
        <v>0</v>
      </c>
      <c r="F247" s="7" t="n">
        <v>0</v>
      </c>
      <c r="G247" s="7" t="n">
        <v>2722</v>
      </c>
      <c r="H247" s="7" t="n">
        <v>349687</v>
      </c>
    </row>
    <row r="248" customFormat="false" ht="15" hidden="false" customHeight="false" outlineLevel="0" collapsed="false">
      <c r="A248" s="8" t="s">
        <v>811</v>
      </c>
      <c r="B248" s="8" t="s">
        <v>812</v>
      </c>
      <c r="C248" s="8" t="s">
        <v>545</v>
      </c>
      <c r="D248" s="7" t="n">
        <v>296132</v>
      </c>
      <c r="E248" s="7" t="n">
        <v>45785</v>
      </c>
      <c r="F248" s="7" t="n">
        <v>39710</v>
      </c>
      <c r="G248" s="7" t="n">
        <v>-29003</v>
      </c>
      <c r="H248" s="7" t="n">
        <v>51254</v>
      </c>
    </row>
    <row r="249" customFormat="false" ht="15" hidden="false" customHeight="false" outlineLevel="0" collapsed="false">
      <c r="A249" s="8" t="s">
        <v>813</v>
      </c>
      <c r="B249" s="8" t="s">
        <v>814</v>
      </c>
      <c r="C249" s="8" t="s">
        <v>547</v>
      </c>
      <c r="D249" s="7" t="n">
        <v>404510</v>
      </c>
      <c r="E249" s="7" t="n">
        <v>12777</v>
      </c>
      <c r="F249" s="7" t="n">
        <v>25473</v>
      </c>
      <c r="G249" s="7" t="n">
        <v>49909</v>
      </c>
      <c r="H249" s="7" t="n">
        <v>207578</v>
      </c>
    </row>
    <row r="250" customFormat="false" ht="15" hidden="false" customHeight="false" outlineLevel="0" collapsed="false">
      <c r="A250" s="8" t="s">
        <v>815</v>
      </c>
      <c r="B250" s="8" t="s">
        <v>816</v>
      </c>
      <c r="C250" s="8" t="s">
        <v>549</v>
      </c>
      <c r="D250" s="7" t="n">
        <v>274514</v>
      </c>
      <c r="E250" s="7" t="n">
        <v>62033</v>
      </c>
      <c r="F250" s="7" t="n">
        <v>55207</v>
      </c>
      <c r="G250" s="7" t="n">
        <v>19374</v>
      </c>
      <c r="H250" s="7" t="n">
        <v>82977</v>
      </c>
    </row>
    <row r="251" customFormat="false" ht="15" hidden="false" customHeight="false" outlineLevel="0" collapsed="false">
      <c r="A251" s="8" t="s">
        <v>817</v>
      </c>
      <c r="B251" s="8" t="s">
        <v>818</v>
      </c>
      <c r="C251" s="8" t="s">
        <v>551</v>
      </c>
      <c r="D251" s="7" t="n">
        <v>475930</v>
      </c>
      <c r="E251" s="7" t="n">
        <v>0</v>
      </c>
      <c r="F251" s="7" t="n">
        <v>8777</v>
      </c>
      <c r="G251" s="7" t="n">
        <v>1639</v>
      </c>
      <c r="H251" s="7" t="n">
        <v>404007</v>
      </c>
    </row>
    <row r="252" customFormat="false" ht="15" hidden="false" customHeight="false" outlineLevel="0" collapsed="false">
      <c r="A252" s="8" t="s">
        <v>819</v>
      </c>
      <c r="B252" s="8" t="s">
        <v>820</v>
      </c>
      <c r="C252" s="8" t="s">
        <v>553</v>
      </c>
      <c r="D252" s="7" t="n">
        <v>280665</v>
      </c>
      <c r="E252" s="7" t="n">
        <v>33024</v>
      </c>
      <c r="F252" s="7" t="n">
        <v>0</v>
      </c>
      <c r="G252" s="7" t="n">
        <v>12880</v>
      </c>
      <c r="H252" s="7" t="n">
        <v>14767</v>
      </c>
    </row>
    <row r="253" customFormat="false" ht="15" hidden="false" customHeight="false" outlineLevel="0" collapsed="false">
      <c r="A253" s="8" t="s">
        <v>821</v>
      </c>
      <c r="B253" s="8" t="s">
        <v>822</v>
      </c>
      <c r="C253" s="8" t="s">
        <v>555</v>
      </c>
      <c r="D253" s="7" t="n">
        <v>12535</v>
      </c>
      <c r="E253" s="7" t="n">
        <v>2813</v>
      </c>
      <c r="F253" s="7" t="n">
        <v>297</v>
      </c>
      <c r="G253" s="7" t="n">
        <v>89</v>
      </c>
      <c r="H253" s="7" t="n">
        <v>0</v>
      </c>
    </row>
    <row r="254" customFormat="false" ht="15" hidden="false" customHeight="false" outlineLevel="0" collapsed="false">
      <c r="A254" s="8" t="s">
        <v>823</v>
      </c>
      <c r="B254" s="8" t="s">
        <v>824</v>
      </c>
      <c r="C254" s="8" t="s">
        <v>557</v>
      </c>
      <c r="D254" s="7" t="n">
        <v>10087</v>
      </c>
      <c r="E254" s="7" t="n">
        <v>0</v>
      </c>
      <c r="F254" s="7" t="n">
        <v>0</v>
      </c>
      <c r="G254" s="7" t="n">
        <v>0</v>
      </c>
      <c r="H254" s="7" t="n">
        <v>1988</v>
      </c>
    </row>
    <row r="255" customFormat="false" ht="15" hidden="false" customHeight="false" outlineLevel="0" collapsed="false">
      <c r="A255" s="8" t="s">
        <v>825</v>
      </c>
      <c r="B255" s="8" t="s">
        <v>826</v>
      </c>
      <c r="C255" s="8" t="s">
        <v>559</v>
      </c>
      <c r="D255" s="7" t="n">
        <v>1501979</v>
      </c>
      <c r="E255" s="7" t="n">
        <v>612436</v>
      </c>
      <c r="F255" s="7" t="n">
        <v>0</v>
      </c>
      <c r="G255" s="7" t="n">
        <v>0</v>
      </c>
      <c r="H255" s="7" t="n">
        <v>1039875</v>
      </c>
    </row>
    <row r="256" customFormat="false" ht="15" hidden="false" customHeight="false" outlineLevel="0" collapsed="false">
      <c r="A256" s="8" t="s">
        <v>827</v>
      </c>
      <c r="B256" s="8" t="s">
        <v>828</v>
      </c>
      <c r="C256" s="8" t="s">
        <v>561</v>
      </c>
      <c r="D256" s="7" t="n">
        <v>704312</v>
      </c>
      <c r="E256" s="7" t="n">
        <v>225116</v>
      </c>
      <c r="F256" s="7" t="n">
        <v>0</v>
      </c>
      <c r="G256" s="7" t="n">
        <v>0</v>
      </c>
      <c r="H256" s="7" t="n">
        <v>517037</v>
      </c>
    </row>
    <row r="257" customFormat="false" ht="15" hidden="false" customHeight="false" outlineLevel="0" collapsed="false">
      <c r="A257" s="8" t="s">
        <v>829</v>
      </c>
      <c r="B257" s="8" t="s">
        <v>830</v>
      </c>
      <c r="C257" s="8" t="s">
        <v>563</v>
      </c>
      <c r="D257" s="7" t="n">
        <v>290576</v>
      </c>
      <c r="E257" s="7" t="n">
        <v>72228</v>
      </c>
      <c r="F257" s="7" t="n">
        <v>0</v>
      </c>
      <c r="G257" s="7" t="n">
        <v>2412</v>
      </c>
      <c r="H257" s="7" t="n">
        <v>222491</v>
      </c>
    </row>
    <row r="258" customFormat="false" ht="15" hidden="false" customHeight="false" outlineLevel="0" collapsed="false">
      <c r="A258" s="8" t="s">
        <v>831</v>
      </c>
      <c r="B258" s="8" t="s">
        <v>832</v>
      </c>
      <c r="C258" s="8" t="s">
        <v>565</v>
      </c>
      <c r="D258" s="7" t="n">
        <v>458970</v>
      </c>
      <c r="E258" s="7" t="n">
        <v>7097</v>
      </c>
      <c r="F258" s="7" t="n">
        <v>0</v>
      </c>
      <c r="G258" s="7" t="n">
        <v>1829</v>
      </c>
      <c r="H258" s="7" t="n">
        <v>445937</v>
      </c>
    </row>
    <row r="259" customFormat="false" ht="15" hidden="false" customHeight="false" outlineLevel="0" collapsed="false">
      <c r="A259" s="8" t="s">
        <v>833</v>
      </c>
      <c r="B259" s="8" t="s">
        <v>834</v>
      </c>
      <c r="C259" s="8" t="s">
        <v>594</v>
      </c>
      <c r="D259" s="7" t="n">
        <v>1734</v>
      </c>
      <c r="E259" s="7" t="n">
        <v>1873</v>
      </c>
      <c r="F259" s="7" t="n">
        <v>218</v>
      </c>
      <c r="G259" s="7" t="n">
        <v>0</v>
      </c>
      <c r="H259" s="7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2026-07-12T18:39:46Z</dcterms:created>
  <dc:creator>openpyxl</dc:creator>
  <dc:description/>
  <dc:language>en-US</dc:language>
  <cp:lastModifiedBy/>
  <dcterms:modified xsi:type="dcterms:W3CDTF">2026-07-12T18:39:46Z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